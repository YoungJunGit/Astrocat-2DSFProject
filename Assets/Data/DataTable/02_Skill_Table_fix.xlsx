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C3AC6CC5-2AC0-4A81-A52C-7B757CF5FDA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!Logic" sheetId="2" r:id="rId1"/>
    <sheet name="!Desc" sheetId="1" r:id="rId2"/>
    <sheet name="Skill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전세혁</author>
    <author>제동우</author>
  </authors>
  <commentList>
    <comment ref="C2" authorId="0" shapeId="0" xr:uid="{4E6B084F-FA63-4203-8F0E-6D0C0A5F7A83}">
      <text>
        <r>
          <rPr>
            <b/>
            <sz val="9"/>
            <color indexed="81"/>
            <rFont val="Tahoma"/>
            <family val="2"/>
          </rPr>
          <t xml:space="preserve">00: </t>
        </r>
        <r>
          <rPr>
            <b/>
            <sz val="9"/>
            <color indexed="81"/>
            <rFont val="돋움"/>
            <family val="3"/>
            <charset val="129"/>
          </rPr>
          <t xml:space="preserve">패시브
</t>
        </r>
        <r>
          <rPr>
            <b/>
            <sz val="9"/>
            <color indexed="81"/>
            <rFont val="Tahoma"/>
            <family val="2"/>
          </rPr>
          <t xml:space="preserve">01: </t>
        </r>
        <r>
          <rPr>
            <b/>
            <sz val="9"/>
            <color indexed="81"/>
            <rFont val="돋움"/>
            <family val="3"/>
            <charset val="129"/>
          </rPr>
          <t>액티브</t>
        </r>
      </text>
    </comment>
    <comment ref="D2" authorId="0" shapeId="0" xr:uid="{AB82025A-2F7D-4086-8826-2F3A6370F085}">
      <text>
        <r>
          <rPr>
            <b/>
            <sz val="9"/>
            <color indexed="81"/>
            <rFont val="Tahoma"/>
            <family val="2"/>
          </rPr>
          <t xml:space="preserve">1XXX: </t>
        </r>
        <r>
          <rPr>
            <b/>
            <sz val="9"/>
            <color indexed="81"/>
            <rFont val="돋움"/>
            <family val="3"/>
            <charset val="129"/>
          </rPr>
          <t>플레이어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캐릭터
</t>
        </r>
        <r>
          <rPr>
            <b/>
            <sz val="9"/>
            <color indexed="81"/>
            <rFont val="Tahoma"/>
            <family val="2"/>
          </rPr>
          <t xml:space="preserve">2XXX: </t>
        </r>
        <r>
          <rPr>
            <b/>
            <sz val="9"/>
            <color indexed="81"/>
            <rFont val="돋움"/>
            <family val="3"/>
            <charset val="129"/>
          </rPr>
          <t>몬스터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캐릭터</t>
        </r>
      </text>
    </comment>
    <comment ref="P2" authorId="1" shapeId="0" xr:uid="{A7CFF224-29C3-46F4-8C48-555C52934D08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버프가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" authorId="1" shapeId="0" xr:uid="{6770E550-A25B-4524-BAFB-4B5D51F1AB46}">
      <text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"-"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G3" authorId="0" shapeId="0" xr:uid="{D7DED31C-DB0B-4E4D-A8CF-39D1CAF757A7}">
      <text>
        <r>
          <rPr>
            <b/>
            <sz val="9"/>
            <color indexed="81"/>
            <rFont val="Tahoma"/>
            <family val="2"/>
          </rPr>
          <t xml:space="preserve">0: NONE
1: </t>
        </r>
        <r>
          <rPr>
            <b/>
            <sz val="9"/>
            <color indexed="81"/>
            <rFont val="돋움"/>
            <family val="3"/>
            <charset val="129"/>
          </rPr>
          <t xml:space="preserve">물리
</t>
        </r>
        <r>
          <rPr>
            <b/>
            <sz val="9"/>
            <color indexed="81"/>
            <rFont val="Tahoma"/>
            <family val="2"/>
          </rPr>
          <t xml:space="preserve">2: </t>
        </r>
        <r>
          <rPr>
            <b/>
            <sz val="9"/>
            <color indexed="81"/>
            <rFont val="돋움"/>
            <family val="3"/>
            <charset val="129"/>
          </rPr>
          <t xml:space="preserve">화염
</t>
        </r>
        <r>
          <rPr>
            <b/>
            <sz val="9"/>
            <color indexed="81"/>
            <rFont val="Tahoma"/>
            <family val="2"/>
          </rPr>
          <t xml:space="preserve">3: </t>
        </r>
        <r>
          <rPr>
            <b/>
            <sz val="9"/>
            <color indexed="81"/>
            <rFont val="돋움"/>
            <family val="3"/>
            <charset val="129"/>
          </rPr>
          <t xml:space="preserve">방사능
</t>
        </r>
        <r>
          <rPr>
            <b/>
            <sz val="9"/>
            <color indexed="81"/>
            <rFont val="Tahoma"/>
            <family val="2"/>
          </rPr>
          <t xml:space="preserve">4: </t>
        </r>
        <r>
          <rPr>
            <b/>
            <sz val="9"/>
            <color indexed="81"/>
            <rFont val="돋움"/>
            <family val="3"/>
            <charset val="129"/>
          </rPr>
          <t xml:space="preserve">중력
</t>
        </r>
        <r>
          <rPr>
            <b/>
            <sz val="9"/>
            <color indexed="81"/>
            <rFont val="Tahoma"/>
            <family val="2"/>
          </rPr>
          <t xml:space="preserve">5: </t>
        </r>
        <r>
          <rPr>
            <b/>
            <sz val="9"/>
            <color indexed="81"/>
            <rFont val="돋움"/>
            <family val="3"/>
            <charset val="129"/>
          </rPr>
          <t xml:space="preserve">공허
</t>
        </r>
        <r>
          <rPr>
            <b/>
            <sz val="9"/>
            <color indexed="81"/>
            <rFont val="Tahoma"/>
            <family val="2"/>
          </rPr>
          <t xml:space="preserve">6: </t>
        </r>
        <r>
          <rPr>
            <b/>
            <sz val="9"/>
            <color indexed="81"/>
            <rFont val="돋움"/>
            <family val="3"/>
            <charset val="129"/>
          </rPr>
          <t>신성</t>
        </r>
      </text>
    </comment>
    <comment ref="H3" authorId="0" shapeId="0" xr:uid="{DF7F17AD-1FF5-4ADC-A98E-CCAC41127ADC}">
      <text>
        <r>
          <rPr>
            <b/>
            <sz val="9"/>
            <color indexed="81"/>
            <rFont val="돋움"/>
            <family val="3"/>
            <charset val="129"/>
          </rPr>
          <t xml:space="preserve">0: NONE
1: 기본 지속 효과/Passive
2: 공격/Attack
3: 회복/Heal
4: 지원/Support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" authorId="0" shapeId="0" xr:uid="{B2242EA6-A613-4167-9051-EBDA59D59EAC}">
      <text>
        <r>
          <rPr>
            <b/>
            <sz val="9"/>
            <color indexed="81"/>
            <rFont val="Tahoma"/>
            <family val="2"/>
          </rPr>
          <t>0: NONE
1: Player
2: Enemy</t>
        </r>
      </text>
    </comment>
    <comment ref="J3" authorId="0" shapeId="0" xr:uid="{96E9FA65-6E65-4CAD-BAAB-17BF5539DE37}">
      <text>
        <r>
          <rPr>
            <b/>
            <sz val="9"/>
            <color indexed="81"/>
            <rFont val="Tahoma"/>
            <family val="2"/>
          </rPr>
          <t>0: None
1: Single
2: All
3: Random
4: Splash</t>
        </r>
      </text>
    </comment>
    <comment ref="O3" authorId="0" shapeId="0" xr:uid="{0D81D64E-4413-4421-B0EC-4BFC705B9387}">
      <text>
        <r>
          <rPr>
            <b/>
            <sz val="9"/>
            <color indexed="81"/>
            <rFont val="돋움"/>
            <family val="3"/>
            <charset val="129"/>
          </rPr>
          <t>0: NONE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1: 작게 증가시킨다. → 1.0
2: 증가시킨다. → 1.3
3: 크게 증가시킨다. → 1.5
</t>
        </r>
      </text>
    </comment>
  </commentList>
</comments>
</file>

<file path=xl/sharedStrings.xml><?xml version="1.0" encoding="utf-8"?>
<sst xmlns="http://schemas.openxmlformats.org/spreadsheetml/2006/main" count="180" uniqueCount="140">
  <si>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</si>
  <si>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</si>
  <si>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</si>
  <si>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</si>
  <si>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</si>
  <si>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</si>
  <si>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</si>
  <si>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</si>
  <si>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</si>
  <si>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</si>
  <si>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</si>
  <si>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</si>
  <si>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</si>
  <si>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</si>
  <si>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</si>
  <si>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</si>
  <si>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</si>
  <si>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</si>
  <si>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</si>
  <si>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</si>
  <si>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</si>
  <si>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</si>
  <si>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</si>
  <si>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</si>
  <si>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</si>
  <si>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</si>
  <si>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</si>
  <si>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</si>
  <si>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</si>
  <si>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</si>
  <si>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</si>
  <si>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</si>
  <si>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</si>
  <si>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</si>
  <si>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</si>
  <si>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</si>
  <si>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</si>
  <si>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</si>
  <si>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</si>
  <si>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</si>
  <si>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</si>
  <si>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</si>
  <si>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</si>
  <si>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</si>
  <si>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enum:BROOD_TYPE:NONE</t>
  </si>
  <si>
    <t>enum:RANGE_TYPE:NONE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</si>
  <si>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</si>
  <si>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</si>
  <si>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</si>
  <si>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</si>
  <si>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</si>
  <si>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</si>
  <si>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</si>
  <si>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</si>
  <si>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</si>
  <si>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</si>
  <si>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</si>
  <si>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</si>
  <si>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</si>
  <si>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</si>
  <si>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</si>
  <si>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</si>
  <si>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</si>
  <si>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</si>
  <si>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</si>
  <si>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</si>
  <si>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</si>
  <si>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</si>
  <si>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</si>
  <si>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</si>
  <si>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</si>
  <si>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</si>
  <si>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</si>
  <si>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</si>
  <si>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</si>
  <si>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</si>
  <si>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</si>
  <si>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</si>
  <si>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</si>
  <si>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</si>
  <si>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</si>
  <si>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double</t>
  </si>
  <si>
    <t>스킬 이름</t>
    <phoneticPr fontId="1" type="noConversion"/>
  </si>
  <si>
    <t>Skill_Name</t>
    <phoneticPr fontId="1" type="noConversion"/>
  </si>
  <si>
    <t>Skill_Desc</t>
    <phoneticPr fontId="1" type="noConversion"/>
  </si>
  <si>
    <t>스킬 설명</t>
    <phoneticPr fontId="1" type="noConversion"/>
  </si>
  <si>
    <t>스킬 구분</t>
    <phoneticPr fontId="1" type="noConversion"/>
  </si>
  <si>
    <t>스킬 속성</t>
    <phoneticPr fontId="1" type="noConversion"/>
  </si>
  <si>
    <t>스킬 타입</t>
    <phoneticPr fontId="1" type="noConversion"/>
  </si>
  <si>
    <t>enum:SKILL_ELEMENT:NONE</t>
  </si>
  <si>
    <t>enum:SKILL_ELEMENT:NONE</t>
    <phoneticPr fontId="1" type="noConversion"/>
  </si>
  <si>
    <t>enum:SKILL_TYPE:NONE</t>
  </si>
  <si>
    <t>enum:SKILL_TYPE:NONE</t>
    <phoneticPr fontId="1" type="noConversion"/>
  </si>
  <si>
    <t>enum:SKILL_TARGET_TYPE:NONE</t>
  </si>
  <si>
    <t>enum:SKILL_TARGET_TYPE:NONE</t>
    <phoneticPr fontId="1" type="noConversion"/>
  </si>
  <si>
    <t>enum:SKILL_ELEMENT_RATE:NONE</t>
  </si>
  <si>
    <t>enum:SKILL_ELEMENT_RATE:NONE</t>
    <phoneticPr fontId="1" type="noConversion"/>
  </si>
  <si>
    <t>스킬 적용 대상</t>
    <phoneticPr fontId="1" type="noConversion"/>
  </si>
  <si>
    <t>스킬 적용 범위</t>
    <phoneticPr fontId="1" type="noConversion"/>
  </si>
  <si>
    <t>스킬 비용</t>
    <phoneticPr fontId="1" type="noConversion"/>
  </si>
  <si>
    <t>공격력 계수</t>
    <phoneticPr fontId="1" type="noConversion"/>
  </si>
  <si>
    <t>스킬 속성 게이지 계수</t>
    <phoneticPr fontId="1" type="noConversion"/>
  </si>
  <si>
    <t>Skill_Element</t>
    <phoneticPr fontId="1" type="noConversion"/>
  </si>
  <si>
    <t>Skill_Type</t>
    <phoneticPr fontId="1" type="noConversion"/>
  </si>
  <si>
    <t>Skill_Side</t>
    <phoneticPr fontId="1" type="noConversion"/>
  </si>
  <si>
    <t>Skill_Target_Type</t>
    <phoneticPr fontId="1" type="noConversion"/>
  </si>
  <si>
    <t>Skill_Cost_SP</t>
    <phoneticPr fontId="1" type="noConversion"/>
  </si>
  <si>
    <t>Skill_ATK_Rate</t>
    <phoneticPr fontId="1" type="noConversion"/>
  </si>
  <si>
    <t>Skill_Hit_Count</t>
    <phoneticPr fontId="1" type="noConversion"/>
  </si>
  <si>
    <t>타격 횟수</t>
    <phoneticPr fontId="1" type="noConversion"/>
  </si>
  <si>
    <t>스킬 지속 턴</t>
    <phoneticPr fontId="1" type="noConversion"/>
  </si>
  <si>
    <t>Skill_Duration_Turn</t>
    <phoneticPr fontId="1" type="noConversion"/>
  </si>
  <si>
    <t>Skill_Element_Rate</t>
    <phoneticPr fontId="1" type="noConversion"/>
  </si>
  <si>
    <t>적용 버프/디버프 ID</t>
    <phoneticPr fontId="1" type="noConversion"/>
  </si>
  <si>
    <t>Buff_ID</t>
    <phoneticPr fontId="1" type="noConversion"/>
  </si>
  <si>
    <t>Table_Skill</t>
    <phoneticPr fontId="1" type="noConversion"/>
  </si>
  <si>
    <t>enum:SIDE:NONE</t>
  </si>
  <si>
    <t>enum:SIDE:NONE</t>
    <phoneticPr fontId="1" type="noConversion"/>
  </si>
  <si>
    <t>QTE ID</t>
    <phoneticPr fontId="1" type="noConversion"/>
  </si>
  <si>
    <t>QTE_ID</t>
    <phoneticPr fontId="1" type="noConversion"/>
  </si>
  <si>
    <t>Skill_ID</t>
    <phoneticPr fontId="1" type="noConversion"/>
  </si>
  <si>
    <t>-</t>
    <phoneticPr fontId="1" type="noConversion"/>
  </si>
  <si>
    <t>SKILL_PASSIVE_NAME_3001</t>
    <phoneticPr fontId="1" type="noConversion"/>
  </si>
  <si>
    <t>SKILL_PASSIVE_NAME_3002</t>
    <phoneticPr fontId="1" type="noConversion"/>
  </si>
  <si>
    <t>SKILL_PASSIVE_NAME_3003</t>
    <phoneticPr fontId="1" type="noConversion"/>
  </si>
  <si>
    <t>SKILL_PASSIVE_DESC_4001</t>
    <phoneticPr fontId="1" type="noConversion"/>
  </si>
  <si>
    <t>SKILL_PASSIVE_DESC_4002</t>
    <phoneticPr fontId="1" type="noConversion"/>
  </si>
  <si>
    <t>SKILL_PASSIVE_DESC_4003</t>
    <phoneticPr fontId="1" type="noConversion"/>
  </si>
  <si>
    <t>SKILL_ACTIVE_NAME_5001</t>
    <phoneticPr fontId="1" type="noConversion"/>
  </si>
  <si>
    <t>SKILL_ACTIVE_NAME_5002</t>
    <phoneticPr fontId="1" type="noConversion"/>
  </si>
  <si>
    <t>SKILL_ACTIVE_NAME_5003</t>
    <phoneticPr fontId="1" type="noConversion"/>
  </si>
  <si>
    <t>SKILL_ACTIVE_DESC_6001</t>
    <phoneticPr fontId="1" type="noConversion"/>
  </si>
  <si>
    <t>SKILL_ACTIVE_DESC_6002</t>
    <phoneticPr fontId="1" type="noConversion"/>
  </si>
  <si>
    <t>SKILL_ACTIVE_DESC_6003</t>
    <phoneticPr fontId="1" type="noConversion"/>
  </si>
  <si>
    <t>SKILL_ACTIVE_NAME_5004</t>
    <phoneticPr fontId="1" type="noConversion"/>
  </si>
  <si>
    <t>SKILL_ACTIVE_DESC_6004</t>
    <phoneticPr fontId="1" type="noConversion"/>
  </si>
  <si>
    <t>에셋 파일 경로</t>
    <phoneticPr fontId="1" type="noConversion"/>
  </si>
  <si>
    <t>string[]</t>
  </si>
  <si>
    <t>버프 수치</t>
    <phoneticPr fontId="1" type="noConversion"/>
  </si>
  <si>
    <t>Buff_Value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</si>
</sst>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_);[Red]\(0.0\)"/>
    <numFmt numFmtId="178" formatCode="0.00_);[Red]\(0.00\)"/>
    <numFmt numFmtId="179" formatCode="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0" fontId="0" fillId="0" borderId="3" xfId="0" applyBorder="1">
      <alignment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3" xfId="0" applyNumberFormat="1" applyBorder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71600" y="193357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E18"/>
  <sheetViews>
    <sheetView workbookViewId="0">
      <selection activeCell="A16" sqref="A16"/>
    </sheetView>
  </sheetViews>
  <sheetFormatPr defaultRowHeight="16.5" x14ac:dyDescent="0.3"/>
  <cols>
    <col min="1" max="1" width="32.875" bestFit="1" customWidth="1"/>
  </cols>
  <sheetData>
    <row r="2" spans="1:5" x14ac:dyDescent="0.3">
      <c r="A2" t="s">
        <v>46</v>
      </c>
      <c r="C2" t="s">
        <v>47</v>
      </c>
    </row>
    <row r="4" spans="1:5" x14ac:dyDescent="0.3">
      <c r="A4" s="18" t="s">
        <v>54</v>
      </c>
    </row>
    <row r="5" spans="1:5" x14ac:dyDescent="0.3">
      <c r="A5" s="19" t="s">
        <v>58</v>
      </c>
      <c r="C5" s="20" t="s">
        <v>55</v>
      </c>
      <c r="D5" s="20" t="s">
        <v>56</v>
      </c>
      <c r="E5" s="20" t="s">
        <v>57</v>
      </c>
    </row>
    <row r="6" spans="1:5" x14ac:dyDescent="0.3">
      <c r="A6" s="19" t="s">
        <v>49</v>
      </c>
      <c r="C6" s="20" t="s">
        <v>59</v>
      </c>
      <c r="D6" s="20" t="s">
        <v>60</v>
      </c>
    </row>
    <row r="7" spans="1:5" x14ac:dyDescent="0.3">
      <c r="A7" s="19" t="s">
        <v>70</v>
      </c>
      <c r="C7" s="20" t="s">
        <v>61</v>
      </c>
      <c r="D7" s="20" t="s">
        <v>62</v>
      </c>
    </row>
    <row r="8" spans="1:5" x14ac:dyDescent="0.3">
      <c r="A8" s="19" t="s">
        <v>69</v>
      </c>
      <c r="C8" s="20" t="s">
        <v>63</v>
      </c>
      <c r="D8" s="20" t="s">
        <v>64</v>
      </c>
    </row>
    <row r="9" spans="1:5" x14ac:dyDescent="0.3">
      <c r="A9" s="19" t="s">
        <v>71</v>
      </c>
      <c r="C9" s="20" t="s">
        <v>65</v>
      </c>
      <c r="D9" s="20" t="s">
        <v>66</v>
      </c>
    </row>
    <row r="10" spans="1:5" x14ac:dyDescent="0.3">
      <c r="A10" s="19" t="s">
        <v>52</v>
      </c>
      <c r="C10" s="20" t="s">
        <v>67</v>
      </c>
      <c r="D10" s="20" t="s">
        <v>68</v>
      </c>
    </row>
    <row r="11" spans="1:5" x14ac:dyDescent="0.3">
      <c r="A11" s="19" t="s">
        <v>75</v>
      </c>
    </row>
    <row r="12" spans="1:5" x14ac:dyDescent="0.3">
      <c r="A12" s="19" t="s">
        <v>74</v>
      </c>
    </row>
    <row r="13" spans="1:5" x14ac:dyDescent="0.3">
      <c r="A13" s="19" t="s">
        <v>90</v>
      </c>
      <c r="C13" t="s">
        <v>72</v>
      </c>
    </row>
    <row r="14" spans="1:5" x14ac:dyDescent="0.3">
      <c r="A14" s="19" t="s">
        <v>92</v>
      </c>
      <c r="C14" t="s">
        <v>73</v>
      </c>
    </row>
    <row r="15" spans="1:5" x14ac:dyDescent="0.3">
      <c r="A15" s="19" t="s">
        <v>117</v>
      </c>
    </row>
    <row r="16" spans="1:5" x14ac:dyDescent="0.3">
      <c r="A16" s="19" t="s">
        <v>94</v>
      </c>
      <c r="C16" t="s">
        <v>78</v>
      </c>
    </row>
    <row r="17" spans="1:3" x14ac:dyDescent="0.3">
      <c r="A17" s="19" t="s">
        <v>96</v>
      </c>
      <c r="C17" t="s">
        <v>79</v>
      </c>
    </row>
    <row r="18" spans="1:3" x14ac:dyDescent="0.3">
      <c r="C18" t="s">
        <v>80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topLeftCell="M1" workbookViewId="0">
      <pane ySplit="4" topLeftCell="A5" activePane="bottomLeft" state="frozen"/>
      <selection pane="bottomLeft" activeCell="F7" sqref="F7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48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52</v>
      </c>
      <c r="H3" s="15" t="s">
        <v>49</v>
      </c>
      <c r="I3" s="15" t="s">
        <v>49</v>
      </c>
      <c r="J3" s="15" t="s">
        <v>49</v>
      </c>
      <c r="K3" s="15" t="s">
        <v>34</v>
      </c>
      <c r="L3" s="15" t="s">
        <v>42</v>
      </c>
      <c r="M3" s="15" t="s">
        <v>43</v>
      </c>
      <c r="N3" s="15" t="s">
        <v>53</v>
      </c>
      <c r="O3" s="15" t="s">
        <v>44</v>
      </c>
      <c r="P3" s="15" t="s">
        <v>45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50</v>
      </c>
      <c r="D4" s="8" t="s">
        <v>51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dimension ref="A1:AA22"/>
  <sheetViews>
    <sheetView tabSelected="1" zoomScaleNormal="100" workbookViewId="0">
      <selection activeCell="E11" sqref="E11"/>
    </sheetView>
  </sheetViews>
  <sheetFormatPr defaultRowHeight="16.5" x14ac:dyDescent="0.3"/>
  <cols>
    <col min="1" max="1" width="15.5" style="34" bestFit="1" customWidth="1"/>
    <col min="2" max="2" width="6.375" style="34" bestFit="1" customWidth="1"/>
    <col min="3" max="3" width="8.75" style="38" bestFit="1" customWidth="1"/>
    <col min="4" max="4" width="6.125" style="34" bestFit="1" customWidth="1"/>
    <col min="5" max="5" width="26.25" bestFit="1" customWidth="1"/>
    <col min="6" max="6" width="25.375" bestFit="1" customWidth="1"/>
    <col min="7" max="7" width="25" style="39" bestFit="1" customWidth="1"/>
    <col min="8" max="8" width="21.125" bestFit="1" customWidth="1"/>
    <col min="9" max="9" width="20.625" bestFit="1" customWidth="1"/>
    <col min="10" max="10" width="28.75" bestFit="1" customWidth="1"/>
    <col min="11" max="11" width="19" bestFit="1" customWidth="1"/>
    <col min="12" max="12" width="19.875" style="36" bestFit="1" customWidth="1"/>
    <col min="13" max="13" width="14.625" bestFit="1" customWidth="1"/>
    <col min="14" max="14" width="30.375" customWidth="1"/>
    <col min="15" max="15" width="30.375" bestFit="1" customWidth="1"/>
    <col min="16" max="16" width="21.125" style="39" bestFit="1" customWidth="1"/>
    <col min="17" max="17" width="21.125" customWidth="1"/>
    <col min="18" max="18" width="28" bestFit="1" customWidth="1"/>
    <col min="19" max="19" width="18.5" bestFit="1" customWidth="1"/>
    <col min="20" max="20" width="18.875" bestFit="1" customWidth="1"/>
    <col min="21" max="21" width="18.5" bestFit="1" customWidth="1"/>
    <col min="22" max="22" width="21" bestFit="1" customWidth="1"/>
  </cols>
  <sheetData>
    <row r="1" spans="1:27" x14ac:dyDescent="0.3">
      <c r="A1" t="s">
        <v>115</v>
      </c>
      <c r="B1"/>
      <c r="C1"/>
      <c r="D1"/>
      <c r="G1"/>
      <c r="L1"/>
      <c r="P1"/>
    </row>
    <row r="2" spans="1:27" x14ac:dyDescent="0.3">
      <c r="A2" s="21" t="s">
        <v>77</v>
      </c>
      <c r="B2" s="22" t="s">
        <v>60</v>
      </c>
      <c r="C2" s="23" t="s">
        <v>86</v>
      </c>
      <c r="D2" s="23" t="s">
        <v>76</v>
      </c>
      <c r="E2" s="22" t="s">
        <v>82</v>
      </c>
      <c r="F2" s="22" t="s">
        <v>85</v>
      </c>
      <c r="G2" s="22" t="s">
        <v>87</v>
      </c>
      <c r="H2" s="22" t="s">
        <v>88</v>
      </c>
      <c r="I2" s="22" t="s">
        <v>97</v>
      </c>
      <c r="J2" s="22" t="s">
        <v>98</v>
      </c>
      <c r="K2" s="22" t="s">
        <v>99</v>
      </c>
      <c r="L2" s="22" t="s">
        <v>100</v>
      </c>
      <c r="M2" s="22" t="s">
        <v>109</v>
      </c>
      <c r="N2" s="22" t="s">
        <v>110</v>
      </c>
      <c r="O2" s="22" t="s">
        <v>101</v>
      </c>
      <c r="P2" s="22" t="s">
        <v>113</v>
      </c>
      <c r="Q2" s="22" t="s">
        <v>138</v>
      </c>
      <c r="R2" s="22" t="s">
        <v>118</v>
      </c>
      <c r="S2" s="22" t="s">
        <v>136</v>
      </c>
      <c r="T2" s="22"/>
      <c r="U2" s="22"/>
      <c r="V2" s="22"/>
      <c r="W2" s="22"/>
      <c r="X2" s="22"/>
      <c r="Y2" s="22"/>
      <c r="Z2" s="22"/>
      <c r="AA2" s="22"/>
    </row>
    <row r="3" spans="1:27" s="27" customFormat="1" ht="13.5" x14ac:dyDescent="0.3">
      <c r="A3" s="28" t="s">
        <v>70</v>
      </c>
      <c r="B3" s="29" t="s">
        <v>70</v>
      </c>
      <c r="C3" s="29" t="s">
        <v>70</v>
      </c>
      <c r="D3" s="29" t="s">
        <v>70</v>
      </c>
      <c r="E3" s="29" t="s">
        <v>70</v>
      </c>
      <c r="F3" s="29" t="s">
        <v>70</v>
      </c>
      <c r="G3" s="29" t="s">
        <v>89</v>
      </c>
      <c r="H3" s="29" t="s">
        <v>91</v>
      </c>
      <c r="I3" s="29" t="s">
        <v>116</v>
      </c>
      <c r="J3" s="29" t="s">
        <v>93</v>
      </c>
      <c r="K3" s="29" t="s">
        <v>58</v>
      </c>
      <c r="L3" s="29" t="s">
        <v>81</v>
      </c>
      <c r="M3" s="29" t="s">
        <v>58</v>
      </c>
      <c r="N3" s="29" t="s">
        <v>58</v>
      </c>
      <c r="O3" s="29" t="s">
        <v>95</v>
      </c>
      <c r="P3" s="29" t="s">
        <v>137</v>
      </c>
      <c r="Q3" s="29" t="s">
        <v>137</v>
      </c>
      <c r="R3" s="29" t="s">
        <v>70</v>
      </c>
      <c r="S3" s="29"/>
      <c r="T3" s="29"/>
      <c r="U3" s="29"/>
      <c r="V3" s="29"/>
      <c r="W3" s="29"/>
      <c r="X3" s="29"/>
      <c r="Y3" s="29"/>
      <c r="Z3" s="29"/>
      <c r="AA3" s="29"/>
    </row>
    <row r="4" spans="1:27" s="27" customFormat="1" ht="13.5" x14ac:dyDescent="0.3">
      <c r="A4" s="26" t="s">
        <v>120</v>
      </c>
      <c r="B4" s="26" t="s">
        <v>59</v>
      </c>
      <c r="C4" s="26" t="s">
        <v>61</v>
      </c>
      <c r="D4" s="26" t="s">
        <v>63</v>
      </c>
      <c r="E4" s="26" t="s">
        <v>83</v>
      </c>
      <c r="F4" s="26" t="s">
        <v>84</v>
      </c>
      <c r="G4" s="26" t="s">
        <v>102</v>
      </c>
      <c r="H4" s="26" t="s">
        <v>103</v>
      </c>
      <c r="I4" s="26" t="s">
        <v>104</v>
      </c>
      <c r="J4" s="26" t="s">
        <v>105</v>
      </c>
      <c r="K4" s="26" t="s">
        <v>106</v>
      </c>
      <c r="L4" s="26" t="s">
        <v>107</v>
      </c>
      <c r="M4" s="26" t="s">
        <v>108</v>
      </c>
      <c r="N4" s="26" t="s">
        <v>111</v>
      </c>
      <c r="O4" s="26" t="s">
        <v>112</v>
      </c>
      <c r="P4" s="26" t="s">
        <v>114</v>
      </c>
      <c r="Q4" s="26" t="s">
        <v>139</v>
      </c>
      <c r="R4" s="26" t="s">
        <v>119</v>
      </c>
      <c r="S4" s="26"/>
      <c r="T4" s="26"/>
      <c r="U4" s="26"/>
      <c r="V4" s="26"/>
      <c r="W4" s="26"/>
      <c r="X4" s="26"/>
      <c r="Y4" s="26"/>
      <c r="Z4" s="26"/>
      <c r="AA4" s="26"/>
    </row>
    <row r="5" spans="1:27" x14ac:dyDescent="0.3">
      <c r="A5" s="25">
        <f>(B5*1000000) + (C5*10000) + D5</f>
        <v>20001001</v>
      </c>
      <c r="B5" s="33">
        <v>20</v>
      </c>
      <c r="C5" s="37">
        <v>0</v>
      </c>
      <c r="D5" s="25">
        <v>1001</v>
      </c>
      <c r="E5" s="24" t="s">
        <v>122</v>
      </c>
      <c r="F5" s="24" t="s">
        <v>125</v>
      </c>
      <c r="G5" s="24">
        <v>0</v>
      </c>
      <c r="H5" s="24">
        <v>1</v>
      </c>
      <c r="I5" s="31">
        <v>1</v>
      </c>
      <c r="J5" s="31">
        <v>0</v>
      </c>
      <c r="K5" s="24">
        <v>0</v>
      </c>
      <c r="L5" s="35">
        <v>0</v>
      </c>
      <c r="M5" s="31">
        <v>0</v>
      </c>
      <c r="N5" s="31">
        <v>0</v>
      </c>
      <c r="O5" s="31">
        <v>0</v>
      </c>
      <c r="P5" s="24" t="s">
        <v>121</v>
      </c>
      <c r="Q5" s="31" t="s">
        <v>121</v>
      </c>
      <c r="R5" s="30" t="s">
        <v>121</v>
      </c>
      <c r="S5" s="30"/>
      <c r="T5" s="31"/>
      <c r="U5" s="30"/>
      <c r="V5" s="25"/>
      <c r="W5" s="25"/>
      <c r="X5" s="25"/>
      <c r="Y5" s="25"/>
      <c r="Z5" s="25"/>
      <c r="AA5" s="25"/>
    </row>
    <row r="6" spans="1:27" x14ac:dyDescent="0.3">
      <c r="A6" s="25">
        <f t="shared" ref="A6:A22" si="0">(B6*1000000) + (C6*10000) + D6</f>
        <v>20001002</v>
      </c>
      <c r="B6" s="33">
        <v>20</v>
      </c>
      <c r="C6" s="37">
        <v>0</v>
      </c>
      <c r="D6" s="25">
        <v>1002</v>
      </c>
      <c r="E6" s="24" t="s">
        <v>123</v>
      </c>
      <c r="F6" s="24" t="s">
        <v>126</v>
      </c>
      <c r="G6" s="24">
        <v>0</v>
      </c>
      <c r="H6" s="24">
        <v>1</v>
      </c>
      <c r="I6" s="31">
        <v>1</v>
      </c>
      <c r="J6" s="31">
        <v>0</v>
      </c>
      <c r="K6" s="24">
        <v>0</v>
      </c>
      <c r="L6" s="35">
        <v>0</v>
      </c>
      <c r="M6" s="31">
        <v>0</v>
      </c>
      <c r="N6" s="31">
        <v>0</v>
      </c>
      <c r="O6" s="31">
        <v>0</v>
      </c>
      <c r="P6" s="24" t="s">
        <v>121</v>
      </c>
      <c r="Q6" s="31" t="s">
        <v>121</v>
      </c>
      <c r="R6" s="30" t="s">
        <v>121</v>
      </c>
      <c r="S6" s="30"/>
      <c r="T6" s="24"/>
      <c r="U6" s="30"/>
      <c r="V6" s="25"/>
      <c r="W6" s="25"/>
      <c r="X6" s="25"/>
      <c r="Y6" s="25"/>
      <c r="Z6" s="25"/>
      <c r="AA6" s="25"/>
    </row>
    <row r="7" spans="1:27" x14ac:dyDescent="0.3">
      <c r="A7" s="25">
        <f t="shared" si="0"/>
        <v>20001003</v>
      </c>
      <c r="B7" s="33">
        <v>20</v>
      </c>
      <c r="C7" s="37">
        <v>0</v>
      </c>
      <c r="D7" s="25">
        <v>1003</v>
      </c>
      <c r="E7" s="24" t="s">
        <v>124</v>
      </c>
      <c r="F7" s="24" t="s">
        <v>127</v>
      </c>
      <c r="G7" s="24">
        <v>0</v>
      </c>
      <c r="H7" s="24">
        <v>1</v>
      </c>
      <c r="I7" s="31">
        <v>1</v>
      </c>
      <c r="J7" s="31">
        <v>0</v>
      </c>
      <c r="K7" s="24">
        <v>0</v>
      </c>
      <c r="L7" s="35">
        <v>0</v>
      </c>
      <c r="M7" s="31">
        <v>0</v>
      </c>
      <c r="N7" s="31">
        <v>0</v>
      </c>
      <c r="O7" s="31">
        <v>0</v>
      </c>
      <c r="P7" s="24" t="s">
        <v>121</v>
      </c>
      <c r="Q7" s="31" t="s">
        <v>121</v>
      </c>
      <c r="R7" s="30" t="s">
        <v>121</v>
      </c>
      <c r="S7" s="30"/>
      <c r="T7" s="24"/>
      <c r="U7" s="30"/>
      <c r="V7" s="30"/>
      <c r="W7" s="30"/>
      <c r="X7" s="30"/>
      <c r="Y7" s="30"/>
      <c r="Z7" s="30"/>
      <c r="AA7" s="30"/>
    </row>
    <row r="8" spans="1:27" x14ac:dyDescent="0.3">
      <c r="A8" s="25">
        <f t="shared" si="0"/>
        <v>20012001</v>
      </c>
      <c r="B8" s="33">
        <v>20</v>
      </c>
      <c r="C8" s="37">
        <v>1</v>
      </c>
      <c r="D8" s="25">
        <v>2001</v>
      </c>
      <c r="E8" s="24" t="s">
        <v>128</v>
      </c>
      <c r="F8" s="24" t="s">
        <v>131</v>
      </c>
      <c r="G8" s="24">
        <v>1</v>
      </c>
      <c r="H8" s="24">
        <v>2</v>
      </c>
      <c r="I8" s="31">
        <v>2</v>
      </c>
      <c r="J8" s="31">
        <v>1</v>
      </c>
      <c r="K8" s="24">
        <v>3</v>
      </c>
      <c r="L8" s="35">
        <v>0.7</v>
      </c>
      <c r="M8" s="31">
        <v>3</v>
      </c>
      <c r="N8" s="31">
        <v>0</v>
      </c>
      <c r="O8" s="31">
        <v>2</v>
      </c>
      <c r="P8" s="24" t="s">
        <v>121</v>
      </c>
      <c r="Q8" s="31" t="s">
        <v>121</v>
      </c>
      <c r="R8" s="30" t="s">
        <v>121</v>
      </c>
      <c r="S8" s="30"/>
      <c r="T8" s="24"/>
      <c r="U8" s="30"/>
      <c r="V8" s="30"/>
      <c r="W8" s="30"/>
      <c r="X8" s="30"/>
      <c r="Y8" s="30"/>
      <c r="Z8" s="30"/>
      <c r="AA8" s="30"/>
    </row>
    <row r="9" spans="1:27" x14ac:dyDescent="0.3">
      <c r="A9" s="25">
        <f t="shared" si="0"/>
        <v>20012002</v>
      </c>
      <c r="B9" s="33">
        <v>20</v>
      </c>
      <c r="C9" s="37">
        <v>1</v>
      </c>
      <c r="D9" s="25">
        <v>2002</v>
      </c>
      <c r="E9" s="24" t="s">
        <v>129</v>
      </c>
      <c r="F9" s="24" t="s">
        <v>132</v>
      </c>
      <c r="G9" s="24">
        <v>0</v>
      </c>
      <c r="H9" s="24">
        <v>2</v>
      </c>
      <c r="I9" s="31">
        <v>2</v>
      </c>
      <c r="J9" s="31">
        <v>2</v>
      </c>
      <c r="K9" s="24">
        <v>3</v>
      </c>
      <c r="L9" s="35">
        <v>0.8</v>
      </c>
      <c r="M9" s="31">
        <v>1</v>
      </c>
      <c r="N9" s="31">
        <v>0</v>
      </c>
      <c r="O9" s="31">
        <v>0</v>
      </c>
      <c r="P9" s="24" t="s">
        <v>121</v>
      </c>
      <c r="Q9" s="31" t="s">
        <v>121</v>
      </c>
      <c r="R9" s="30" t="s">
        <v>121</v>
      </c>
      <c r="S9" s="30"/>
      <c r="T9" s="24"/>
      <c r="U9" s="30"/>
      <c r="V9" s="30"/>
      <c r="W9" s="30"/>
      <c r="X9" s="30"/>
      <c r="Y9" s="30"/>
      <c r="Z9" s="30"/>
      <c r="AA9" s="30"/>
    </row>
    <row r="10" spans="1:27" x14ac:dyDescent="0.3">
      <c r="A10" s="25">
        <f t="shared" si="0"/>
        <v>20012003</v>
      </c>
      <c r="B10" s="33">
        <v>20</v>
      </c>
      <c r="C10" s="37">
        <v>1</v>
      </c>
      <c r="D10" s="25">
        <v>2003</v>
      </c>
      <c r="E10" s="24" t="s">
        <v>130</v>
      </c>
      <c r="F10" s="24" t="s">
        <v>133</v>
      </c>
      <c r="G10" s="24">
        <v>0</v>
      </c>
      <c r="H10" s="24">
        <v>3</v>
      </c>
      <c r="I10" s="31">
        <v>1</v>
      </c>
      <c r="J10" s="31">
        <v>1</v>
      </c>
      <c r="K10" s="24">
        <v>3</v>
      </c>
      <c r="L10" s="35">
        <v>0.5</v>
      </c>
      <c r="M10" s="31">
        <v>1</v>
      </c>
      <c r="N10" s="31">
        <v>0</v>
      </c>
      <c r="O10" s="31">
        <v>0</v>
      </c>
      <c r="P10" s="24" t="s">
        <v>121</v>
      </c>
      <c r="Q10" s="31" t="s">
        <v>121</v>
      </c>
      <c r="R10" s="30" t="s">
        <v>121</v>
      </c>
      <c r="S10" s="30"/>
      <c r="T10" s="24"/>
      <c r="U10" s="30"/>
      <c r="V10" s="30"/>
      <c r="W10" s="30"/>
      <c r="X10" s="30"/>
      <c r="Y10" s="30"/>
      <c r="Z10" s="30"/>
      <c r="AA10" s="30"/>
    </row>
    <row r="11" spans="1:27" x14ac:dyDescent="0.3">
      <c r="A11" s="25">
        <f t="shared" si="0"/>
        <v>20012004</v>
      </c>
      <c r="B11" s="33">
        <v>20</v>
      </c>
      <c r="C11" s="37">
        <v>1</v>
      </c>
      <c r="D11" s="25">
        <v>2004</v>
      </c>
      <c r="E11" s="24" t="s">
        <v>134</v>
      </c>
      <c r="F11" s="24" t="s">
        <v>135</v>
      </c>
      <c r="G11" s="24">
        <v>0</v>
      </c>
      <c r="H11" s="24">
        <v>4</v>
      </c>
      <c r="I11" s="31">
        <v>1</v>
      </c>
      <c r="J11" s="31">
        <v>1</v>
      </c>
      <c r="K11" s="24">
        <v>3</v>
      </c>
      <c r="L11" s="35">
        <v>0</v>
      </c>
      <c r="M11" s="31">
        <v>0</v>
      </c>
      <c r="N11" s="31">
        <v>2</v>
      </c>
      <c r="O11" s="31">
        <v>0</v>
      </c>
      <c r="P11" s="24">
        <v>30001025</v>
      </c>
      <c r="Q11" s="31" t="s">
        <v>121</v>
      </c>
      <c r="R11" s="30" t="s">
        <v>121</v>
      </c>
      <c r="S11" s="30"/>
      <c r="T11" s="24"/>
      <c r="U11" s="30"/>
      <c r="V11" s="30"/>
      <c r="W11" s="30"/>
      <c r="X11" s="30"/>
      <c r="Y11" s="30"/>
      <c r="Z11" s="30"/>
      <c r="AA11" s="30"/>
    </row>
    <row r="12" spans="1:27" x14ac:dyDescent="0.3">
      <c r="A12" s="25">
        <f t="shared" si="0"/>
        <v>20012005</v>
      </c>
      <c r="B12" s="33">
        <v>20</v>
      </c>
      <c r="C12" s="37">
        <v>1</v>
      </c>
      <c r="D12" s="25">
        <v>2005</v>
      </c>
      <c r="E12" s="30"/>
      <c r="F12" s="30"/>
      <c r="G12" s="24"/>
      <c r="H12" s="24"/>
      <c r="I12" s="31"/>
      <c r="J12" s="31"/>
      <c r="K12" s="24"/>
      <c r="L12" s="35"/>
      <c r="M12" s="31"/>
      <c r="N12" s="31"/>
      <c r="O12" s="31"/>
      <c r="P12" s="24"/>
      <c r="Q12" s="31"/>
      <c r="R12" s="30"/>
      <c r="S12" s="30"/>
      <c r="T12" s="24"/>
      <c r="U12" s="30"/>
      <c r="V12" s="30"/>
      <c r="W12" s="30"/>
      <c r="X12" s="30"/>
      <c r="Y12" s="30"/>
      <c r="Z12" s="30"/>
      <c r="AA12" s="30"/>
    </row>
    <row r="13" spans="1:27" x14ac:dyDescent="0.3">
      <c r="A13" s="25">
        <f t="shared" si="0"/>
        <v>20012006</v>
      </c>
      <c r="B13" s="33">
        <v>20</v>
      </c>
      <c r="C13" s="37">
        <v>1</v>
      </c>
      <c r="D13" s="25">
        <v>2006</v>
      </c>
      <c r="E13" s="30"/>
      <c r="F13" s="30"/>
      <c r="G13" s="24"/>
      <c r="H13" s="24"/>
      <c r="I13" s="31"/>
      <c r="J13" s="31"/>
      <c r="K13" s="24"/>
      <c r="L13" s="35"/>
      <c r="M13" s="31"/>
      <c r="N13" s="31"/>
      <c r="O13" s="31"/>
      <c r="P13" s="24"/>
      <c r="Q13" s="40"/>
      <c r="R13" s="32"/>
      <c r="S13" s="30"/>
      <c r="T13" s="24"/>
      <c r="U13" s="30"/>
      <c r="V13" s="30"/>
      <c r="W13" s="30"/>
      <c r="X13" s="30"/>
      <c r="Y13" s="30"/>
      <c r="Z13" s="30"/>
      <c r="AA13" s="30"/>
    </row>
    <row r="14" spans="1:27" x14ac:dyDescent="0.3">
      <c r="A14" s="25">
        <f t="shared" si="0"/>
        <v>20012007</v>
      </c>
      <c r="B14" s="33">
        <v>20</v>
      </c>
      <c r="C14" s="37">
        <v>1</v>
      </c>
      <c r="D14" s="25">
        <v>2007</v>
      </c>
      <c r="E14" s="30"/>
      <c r="F14" s="30"/>
      <c r="G14" s="24"/>
      <c r="H14" s="24"/>
      <c r="I14" s="31"/>
      <c r="J14" s="31"/>
      <c r="K14" s="24"/>
      <c r="L14" s="35"/>
      <c r="M14" s="31"/>
      <c r="N14" s="31"/>
      <c r="O14" s="31"/>
      <c r="P14" s="24"/>
      <c r="Q14" s="31"/>
      <c r="R14" s="30"/>
      <c r="S14" s="32"/>
      <c r="T14" s="24"/>
      <c r="U14" s="30"/>
      <c r="V14" s="30"/>
      <c r="W14" s="30"/>
      <c r="X14" s="30"/>
      <c r="Y14" s="30"/>
      <c r="Z14" s="30"/>
      <c r="AA14" s="30"/>
    </row>
    <row r="15" spans="1:27" x14ac:dyDescent="0.3">
      <c r="A15" s="25">
        <f t="shared" si="0"/>
        <v>20012008</v>
      </c>
      <c r="B15" s="33">
        <v>20</v>
      </c>
      <c r="C15" s="37">
        <v>1</v>
      </c>
      <c r="D15" s="25">
        <v>2008</v>
      </c>
      <c r="E15" s="30"/>
      <c r="F15" s="30"/>
      <c r="G15" s="24"/>
      <c r="H15" s="24"/>
      <c r="I15" s="31"/>
      <c r="J15" s="31"/>
      <c r="K15" s="24"/>
      <c r="L15" s="35"/>
      <c r="M15" s="31"/>
      <c r="N15" s="31"/>
      <c r="O15" s="31"/>
      <c r="P15" s="24"/>
      <c r="Q15" s="31"/>
      <c r="R15" s="30"/>
      <c r="S15" s="32"/>
      <c r="T15" s="24"/>
      <c r="U15" s="30"/>
      <c r="V15" s="30"/>
      <c r="W15" s="30"/>
      <c r="X15" s="30"/>
      <c r="Y15" s="30"/>
      <c r="Z15" s="30"/>
      <c r="AA15" s="30"/>
    </row>
    <row r="16" spans="1:27" x14ac:dyDescent="0.3">
      <c r="A16" s="25">
        <f t="shared" si="0"/>
        <v>20012009</v>
      </c>
      <c r="B16" s="33">
        <v>20</v>
      </c>
      <c r="C16" s="37">
        <v>1</v>
      </c>
      <c r="D16" s="25">
        <v>2009</v>
      </c>
      <c r="E16" s="30"/>
      <c r="F16" s="30"/>
      <c r="G16" s="24"/>
      <c r="H16" s="24"/>
      <c r="I16" s="31"/>
      <c r="J16" s="31"/>
      <c r="K16" s="24"/>
      <c r="L16" s="35"/>
      <c r="M16" s="31"/>
      <c r="N16" s="31"/>
      <c r="O16" s="31"/>
      <c r="P16" s="24"/>
      <c r="Q16" s="31"/>
      <c r="R16" s="30"/>
      <c r="S16" s="32"/>
      <c r="T16" s="24"/>
      <c r="U16" s="30"/>
      <c r="V16" s="30"/>
      <c r="W16" s="30"/>
      <c r="X16" s="30"/>
      <c r="Y16" s="30"/>
      <c r="Z16" s="30"/>
      <c r="AA16" s="30"/>
    </row>
    <row r="17" spans="1:18" x14ac:dyDescent="0.3">
      <c r="A17" s="25">
        <f t="shared" si="0"/>
        <v>20012010</v>
      </c>
      <c r="B17" s="33">
        <v>20</v>
      </c>
      <c r="C17" s="37">
        <v>1</v>
      </c>
      <c r="D17" s="25">
        <v>2010</v>
      </c>
      <c r="E17" s="30"/>
      <c r="F17" s="30"/>
      <c r="G17" s="24"/>
      <c r="H17" s="30"/>
      <c r="I17" s="30"/>
      <c r="J17" s="30"/>
      <c r="K17" s="30"/>
      <c r="L17" s="35"/>
      <c r="M17" s="30"/>
      <c r="N17" s="30"/>
      <c r="O17" s="30"/>
      <c r="P17" s="24"/>
      <c r="Q17" s="30"/>
      <c r="R17" s="30"/>
    </row>
    <row r="18" spans="1:18" x14ac:dyDescent="0.3">
      <c r="A18" s="25">
        <f t="shared" si="0"/>
        <v>20012011</v>
      </c>
      <c r="B18" s="33">
        <v>20</v>
      </c>
      <c r="C18" s="37">
        <v>1</v>
      </c>
      <c r="D18" s="25">
        <v>2011</v>
      </c>
      <c r="E18" s="30"/>
      <c r="F18" s="30"/>
      <c r="G18" s="24"/>
      <c r="H18" s="30"/>
      <c r="I18" s="30"/>
      <c r="J18" s="30"/>
      <c r="K18" s="30"/>
      <c r="L18" s="35"/>
      <c r="M18" s="30"/>
      <c r="N18" s="30"/>
      <c r="O18" s="30"/>
      <c r="P18" s="24"/>
      <c r="Q18" s="30"/>
      <c r="R18" s="30"/>
    </row>
    <row r="19" spans="1:18" x14ac:dyDescent="0.3">
      <c r="A19" s="25">
        <f t="shared" si="0"/>
        <v>20012012</v>
      </c>
      <c r="B19" s="33">
        <v>20</v>
      </c>
      <c r="C19" s="37">
        <v>1</v>
      </c>
      <c r="D19" s="25">
        <v>2012</v>
      </c>
      <c r="E19" s="30"/>
      <c r="F19" s="30"/>
      <c r="G19" s="24"/>
      <c r="H19" s="30"/>
      <c r="I19" s="30"/>
      <c r="J19" s="30"/>
      <c r="K19" s="30"/>
      <c r="L19" s="35"/>
      <c r="M19" s="30"/>
      <c r="N19" s="30"/>
      <c r="O19" s="30"/>
      <c r="P19" s="24"/>
      <c r="Q19" s="30"/>
      <c r="R19" s="30"/>
    </row>
    <row r="20" spans="1:18" x14ac:dyDescent="0.3">
      <c r="A20" s="25">
        <f t="shared" si="0"/>
        <v>20012013</v>
      </c>
      <c r="B20" s="33">
        <v>20</v>
      </c>
      <c r="C20" s="37">
        <v>1</v>
      </c>
      <c r="D20" s="25">
        <v>2013</v>
      </c>
      <c r="E20" s="30"/>
      <c r="F20" s="30"/>
      <c r="G20" s="24"/>
      <c r="H20" s="30"/>
      <c r="I20" s="30"/>
      <c r="J20" s="30"/>
      <c r="K20" s="30"/>
      <c r="L20" s="35"/>
      <c r="M20" s="30"/>
      <c r="N20" s="30"/>
      <c r="O20" s="30"/>
      <c r="P20" s="24"/>
      <c r="Q20" s="30"/>
      <c r="R20" s="30"/>
    </row>
    <row r="21" spans="1:18" x14ac:dyDescent="0.3">
      <c r="A21" s="25">
        <f t="shared" si="0"/>
        <v>20012014</v>
      </c>
      <c r="B21" s="33">
        <v>20</v>
      </c>
      <c r="C21" s="37">
        <v>1</v>
      </c>
      <c r="D21" s="25">
        <v>2014</v>
      </c>
      <c r="E21" s="30"/>
      <c r="F21" s="30"/>
      <c r="G21" s="24"/>
      <c r="H21" s="30"/>
      <c r="I21" s="30"/>
      <c r="J21" s="30"/>
      <c r="K21" s="30"/>
      <c r="L21" s="35"/>
      <c r="M21" s="30"/>
      <c r="N21" s="30"/>
      <c r="O21" s="30"/>
      <c r="P21" s="24"/>
      <c r="Q21" s="30"/>
      <c r="R21" s="30"/>
    </row>
    <row r="22" spans="1:18" x14ac:dyDescent="0.3">
      <c r="A22" s="25">
        <f t="shared" si="0"/>
        <v>20012015</v>
      </c>
      <c r="B22" s="33">
        <v>20</v>
      </c>
      <c r="C22" s="37">
        <v>1</v>
      </c>
      <c r="D22" s="25">
        <v>2015</v>
      </c>
      <c r="E22" s="30"/>
      <c r="F22" s="30"/>
      <c r="G22" s="24"/>
      <c r="H22" s="30"/>
      <c r="I22" s="30"/>
      <c r="J22" s="30"/>
      <c r="K22" s="30"/>
      <c r="L22" s="35"/>
      <c r="M22" s="30"/>
      <c r="N22" s="30"/>
      <c r="O22" s="30"/>
      <c r="P22" s="24"/>
      <c r="Q22" s="30"/>
      <c r="R22" s="30"/>
    </row>
  </sheetData>
  <phoneticPr fontId="1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A3:XFD3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SkillTable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동우 제</cp:lastModifiedBy>
  <dcterms:created xsi:type="dcterms:W3CDTF">2018-01-04T06:27:47Z</dcterms:created>
  <dcterms:modified xsi:type="dcterms:W3CDTF">2025-10-29T07:35:07Z</dcterms:modified>
</cp:coreProperties>
</file>