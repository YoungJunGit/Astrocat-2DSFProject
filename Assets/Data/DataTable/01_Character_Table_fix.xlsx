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4E629431-8689-4C45-A8CF-8E20DE72A94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<sst xmlns="http://schemas.openxmlformats.org/spreadsheetml/2006/main" count="165" uniqueCount="136">
  <si>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</si>
  <si>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</si>
  <si>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</si>
  <si>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</si>
  <si>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</si>
  <si>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</si>
  <si>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</si>
  <si>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</si>
  <si>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</si>
  <si>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</si>
  <si>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</si>
  <si>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</si>
  <si>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</si>
  <si>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</si>
  <si>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</si>
  <si>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</si>
  <si>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</si>
  <si>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</si>
  <si>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</si>
  <si>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</si>
  <si>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</si>
  <si>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</si>
  <si>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</si>
  <si>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</si>
  <si>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</si>
  <si>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</si>
  <si>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</si>
  <si>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</si>
  <si>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</si>
  <si>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</si>
  <si>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</si>
  <si>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</si>
  <si>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</si>
  <si>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</si>
  <si>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</si>
  <si>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</si>
  <si>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</si>
  <si>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</si>
  <si>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</si>
  <si>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</si>
  <si>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</si>
  <si>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</si>
  <si>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</si>
  <si>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</si>
  <si>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</si>
  <si>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</si>
  <si>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</si>
  <si>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</si>
  <si>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</si>
  <si>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</si>
  <si>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</si>
  <si>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</si>
  <si>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</si>
  <si>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</si>
  <si>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</si>
  <si>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</si>
  <si>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</si>
  <si>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</si>
  <si>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</si>
  <si>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</si>
  <si>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</si>
  <si>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</si>
  <si>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</si>
  <si>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</si>
  <si>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</si>
  <si>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</si>
  <si>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</si>
  <si>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</si>
  <si>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</si>
  <si>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</si>
  <si>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</si>
  <si>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</si>
  <si>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</si>
  <si>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</si>
  <si>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</si>
  <si>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</si>
  <si>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</si>
  <si>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</si>
  <si>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</si>
  <si>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</si>
  <si>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</si>
  <si>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</si>
  <si>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</si>
  <si>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</si>
  <si>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</si>
  <si>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</si>
  <si>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</si>
  <si>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</si>
  <si>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</si>
  <si>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</si>
  <si>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</si>
  <si>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</si>
  <si>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</si>
  <si>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</si>
  <si>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</si>
  <si>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</si>
  <si>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</si>
  <si>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</si>
  <si>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</si>
  <si>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</si>
  <si>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</si>
  <si>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</si>
  <si>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</si>
  <si>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</si>
  <si>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</si>
  <si>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</si>
  <si>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</si>
  <si>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</si>
  <si>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</si>
  <si>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</si>
  <si>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</si>
  <si>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</si>
  <si>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</si>
  <si>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</si>
  <si>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</si>
  <si>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</si>
  <si>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</si>
  <si>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</si>
  <si>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</si>
  <si>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</si>
  <si>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</si>
  <si>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</si>
  <si>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</si>
  <si>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</si>
  <si>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</si>
  <si>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</si>
  <si>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속성 게이지 저항 계수</t>
    <phoneticPr fontId="1" type="noConversion"/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</si>
  <si>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</si>
  <si>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</si>
  <si>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</si>
  <si>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</si>
  <si>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</si>
  <si>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</si>
  <si>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</si>
  <si>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 xml:space="preserve"> </t>
    <phoneticPr fontId="1" type="noConversion"/>
  </si>
  <si>
    <t>20012001,20012002,
20012003,20012004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</si>
</sst>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115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zoomScale="115" zoomScaleNormal="115" workbookViewId="0">
      <selection activeCell="P6" sqref="P6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4.875" style="33" bestFit="1" customWidth="1"/>
    <col min="4" max="4" width="6.125" style="33" bestFit="1" customWidth="1"/>
    <col min="5" max="5" width="15.5" bestFit="1" customWidth="1"/>
    <col min="6" max="6" width="24.37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style="33" bestFit="1" customWidth="1"/>
    <col min="17" max="17" width="18.5" bestFit="1" customWidth="1"/>
    <col min="18" max="18" width="20.12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  <c r="P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116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113</v>
      </c>
      <c r="R2" s="22" t="s">
        <v>126</v>
      </c>
      <c r="S2" s="22" t="s">
        <v>94</v>
      </c>
      <c r="T2" s="22" t="s">
        <v>95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114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84</v>
      </c>
      <c r="S3" s="29" t="s">
        <v>97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122</v>
      </c>
      <c r="F4" s="26" t="s">
        <v>117</v>
      </c>
      <c r="G4" s="26" t="s">
        <v>118</v>
      </c>
      <c r="H4" s="26" t="s">
        <v>124</v>
      </c>
      <c r="I4" s="26" t="s">
        <v>123</v>
      </c>
      <c r="J4" s="26" t="s">
        <v>121</v>
      </c>
      <c r="K4" s="26" t="s">
        <v>119</v>
      </c>
      <c r="L4" s="26" t="s">
        <v>120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125</v>
      </c>
      <c r="S4" s="26" t="s">
        <v>103</v>
      </c>
      <c r="T4" s="26" t="s">
        <v>104</v>
      </c>
      <c r="U4" s="26"/>
      <c r="V4" s="26"/>
      <c r="W4" s="26"/>
      <c r="X4" s="26"/>
      <c r="Y4" s="26"/>
    </row>
    <row r="5" spans="1:25" ht="33" x14ac:dyDescent="0.3">
      <c r="A5" s="25">
        <f>(B5*1000000) + (C5*10000) + D5</f>
        <v>10001001</v>
      </c>
      <c r="B5" s="32">
        <v>10</v>
      </c>
      <c r="C5" s="25">
        <v>0</v>
      </c>
      <c r="D5" s="25">
        <v>1001</v>
      </c>
      <c r="E5" s="24">
        <v>1</v>
      </c>
      <c r="F5" s="24" t="s">
        <v>127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6" t="s">
        <v>135</v>
      </c>
      <c r="Q5" s="30" t="s">
        <v>105</v>
      </c>
      <c r="R5" s="31">
        <v>1</v>
      </c>
      <c r="S5" s="30" t="s">
        <v>105</v>
      </c>
      <c r="T5" s="25" t="s">
        <v>106</v>
      </c>
      <c r="U5" s="25"/>
      <c r="V5" s="25"/>
      <c r="W5" s="25"/>
      <c r="X5" s="25"/>
      <c r="Y5" s="25"/>
    </row>
    <row r="6" spans="1:25" x14ac:dyDescent="0.3">
      <c r="A6" s="25">
        <f>(B6*1000000) + (C6*100000) + D6</f>
        <v>10001002</v>
      </c>
      <c r="B6" s="32">
        <v>10</v>
      </c>
      <c r="C6" s="25">
        <v>0</v>
      </c>
      <c r="D6" s="25">
        <v>1002</v>
      </c>
      <c r="E6" s="24">
        <v>1</v>
      </c>
      <c r="F6" s="24" t="s">
        <v>128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25"/>
      <c r="Q6" s="30"/>
      <c r="R6" s="24"/>
      <c r="S6" s="30"/>
      <c r="T6" s="25" t="s">
        <v>107</v>
      </c>
      <c r="U6" s="25"/>
      <c r="V6" s="25"/>
      <c r="W6" s="25"/>
      <c r="X6" s="25"/>
      <c r="Y6" s="25"/>
    </row>
    <row r="7" spans="1:25" x14ac:dyDescent="0.3">
      <c r="A7" s="25">
        <f t="shared" ref="A7" si="0">(B7*1000000) + (C7*10000) + D7</f>
        <v>10001003</v>
      </c>
      <c r="B7" s="33">
        <v>10</v>
      </c>
      <c r="C7" s="25">
        <v>0</v>
      </c>
      <c r="D7" s="25">
        <v>1003</v>
      </c>
      <c r="E7" s="24">
        <v>1</v>
      </c>
      <c r="F7" s="24" t="s">
        <v>129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25"/>
      <c r="Q7" s="30"/>
      <c r="R7" s="24"/>
      <c r="S7" s="30"/>
      <c r="T7" s="30" t="s">
        <v>108</v>
      </c>
      <c r="U7" s="30"/>
      <c r="V7" s="30"/>
      <c r="W7" s="30"/>
      <c r="X7" s="30"/>
      <c r="Y7" s="30"/>
    </row>
    <row r="8" spans="1:25" x14ac:dyDescent="0.3">
      <c r="A8" s="25">
        <f t="shared" ref="A8" si="1">(B8*1000000) + (C8*100000) + D8</f>
        <v>10102001</v>
      </c>
      <c r="B8" s="32">
        <v>10</v>
      </c>
      <c r="C8" s="25">
        <v>1</v>
      </c>
      <c r="D8" s="25">
        <v>2001</v>
      </c>
      <c r="E8" s="24">
        <v>2</v>
      </c>
      <c r="F8" s="24" t="s">
        <v>130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25"/>
      <c r="Q8" s="30"/>
      <c r="R8" s="24"/>
      <c r="S8" s="30"/>
      <c r="T8" s="30" t="s">
        <v>109</v>
      </c>
      <c r="U8" s="30"/>
      <c r="V8" s="30"/>
      <c r="W8" s="30"/>
      <c r="X8" s="30"/>
      <c r="Y8" s="30"/>
    </row>
    <row r="9" spans="1:25" x14ac:dyDescent="0.3">
      <c r="A9" s="25">
        <f t="shared" ref="A9" si="2">(B9*1000000) + (C9*10000) + D9</f>
        <v>10012002</v>
      </c>
      <c r="B9" s="32">
        <v>10</v>
      </c>
      <c r="C9" s="25">
        <v>1</v>
      </c>
      <c r="D9" s="25">
        <v>2002</v>
      </c>
      <c r="E9" s="24">
        <v>2</v>
      </c>
      <c r="F9" s="24" t="s">
        <v>131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25"/>
      <c r="Q9" s="30"/>
      <c r="R9" s="24"/>
      <c r="S9" s="30"/>
      <c r="T9" s="30" t="s">
        <v>110</v>
      </c>
      <c r="U9" s="30"/>
      <c r="V9" s="30"/>
      <c r="W9" s="30"/>
      <c r="X9" s="30"/>
      <c r="Y9" s="30"/>
    </row>
    <row r="10" spans="1:25" x14ac:dyDescent="0.3">
      <c r="A10" s="25">
        <f t="shared" ref="A10" si="3">(B10*1000000) + (C10*100000) + D10</f>
        <v>10102003</v>
      </c>
      <c r="B10" s="32">
        <v>10</v>
      </c>
      <c r="C10" s="25">
        <v>1</v>
      </c>
      <c r="D10" s="25">
        <v>2003</v>
      </c>
      <c r="E10" s="24">
        <v>2</v>
      </c>
      <c r="F10" s="24" t="s">
        <v>132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25"/>
      <c r="Q10" s="30"/>
      <c r="R10" s="24"/>
      <c r="S10" s="30"/>
      <c r="T10" s="30" t="s">
        <v>111</v>
      </c>
      <c r="U10" s="30"/>
      <c r="V10" s="30"/>
      <c r="W10" s="30"/>
      <c r="X10" s="30"/>
      <c r="Y10" s="30"/>
    </row>
    <row r="11" spans="1:25" x14ac:dyDescent="0.3">
      <c r="A11" s="25">
        <f t="shared" ref="A11" si="4">(B11*1000000) + (C11*10000) + D11</f>
        <v>10012004</v>
      </c>
      <c r="B11" s="32">
        <v>10</v>
      </c>
      <c r="C11" s="25">
        <v>1</v>
      </c>
      <c r="D11" s="25">
        <v>2004</v>
      </c>
      <c r="E11" s="24">
        <v>2</v>
      </c>
      <c r="F11" s="24" t="s">
        <v>133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25"/>
      <c r="Q11" s="30"/>
      <c r="R11" s="24"/>
      <c r="S11" s="30"/>
      <c r="T11" s="30" t="s">
        <v>112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25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25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25"/>
      <c r="D13" s="25"/>
      <c r="E13" s="30"/>
      <c r="F13" s="30" t="s">
        <v>134</v>
      </c>
      <c r="G13" s="31"/>
      <c r="H13" s="24"/>
      <c r="I13" s="31"/>
      <c r="J13" s="31"/>
      <c r="K13" s="24"/>
      <c r="L13" s="24"/>
      <c r="M13" s="31"/>
      <c r="N13" s="31"/>
      <c r="O13" s="31"/>
      <c r="P13" s="25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25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25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25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25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25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25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2025-10-28T09:36:18Z</dcterms:modified>
</cp:coreProperties>
</file>