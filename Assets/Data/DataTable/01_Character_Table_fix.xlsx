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B8D17337-80E8-43E9-A676-3AD04E59A32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Character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아군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적군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E3" authorId="1" shapeId="0" xr:uid="{F78C218E-950D-4350-B202-6F0ACDE87E56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Q3" authorId="0" shapeId="0" xr:uid="{A3CC39BE-B40B-4ADE-9373-072C91593446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R3" authorId="0" shapeId="0" xr:uid="{E1B47B87-AFB7-4700-B0FF-BC6D52144777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S3" authorId="0" shapeId="0" xr:uid="{8FE4A925-8291-466B-98E1-E41BD960CA85}">
      <text>
        <r>
          <rPr>
            <b/>
            <sz val="9"/>
            <color indexed="81"/>
            <rFont val="Tahoma"/>
            <family val="2"/>
          </rPr>
          <t xml:space="preserve">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</commentList>
</comments>
</file>

<file path=xl/sharedStrings.xml><?xml version="1.0" encoding="utf-8"?>
<sst xmlns="http://schemas.openxmlformats.org/spreadsheetml/2006/main" count="184" uniqueCount="138">
  <si>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</si>
  <si>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</si>
  <si>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</si>
  <si>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</si>
  <si>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</si>
  <si>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</si>
  <si>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</si>
  <si>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</si>
  <si>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</si>
  <si>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</si>
  <si>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</si>
  <si>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</si>
  <si>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</si>
  <si>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</si>
  <si>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</si>
  <si>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</si>
  <si>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</si>
  <si>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</si>
  <si>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</si>
  <si>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</si>
  <si>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</si>
  <si>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</si>
  <si>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</si>
  <si>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</si>
  <si>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</si>
  <si>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</si>
  <si>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</si>
  <si>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</si>
  <si>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</si>
  <si>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</si>
  <si>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</si>
  <si>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</si>
  <si>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</si>
  <si>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</si>
  <si>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</si>
  <si>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</si>
  <si>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</si>
  <si>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</si>
  <si>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</si>
  <si>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</si>
  <si>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</si>
  <si>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</si>
  <si>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</si>
  <si>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</si>
  <si>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</si>
  <si>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</si>
  <si>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</si>
  <si>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</si>
  <si>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</si>
  <si>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</si>
  <si>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</si>
  <si>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</si>
  <si>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</si>
  <si>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</si>
  <si>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</si>
  <si>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</si>
  <si>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</si>
  <si>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</si>
  <si>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</si>
  <si>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</si>
  <si>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</si>
  <si>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</si>
  <si>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</si>
  <si>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</si>
  <si>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</si>
  <si>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</si>
  <si>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</si>
  <si>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</si>
  <si>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</si>
  <si>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</si>
  <si>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</si>
  <si>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</si>
  <si>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</si>
  <si>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</si>
  <si>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</si>
  <si>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</si>
  <si>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</si>
  <si>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</si>
  <si>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</si>
  <si>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</si>
  <si>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</si>
  <si>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Table_Character</t>
    <phoneticPr fontId="1" type="noConversion"/>
  </si>
  <si>
    <t>캐릭터 이름</t>
    <phoneticPr fontId="1" type="noConversion"/>
  </si>
  <si>
    <t>최대 체력</t>
    <phoneticPr fontId="1" type="noConversion"/>
  </si>
  <si>
    <t>double</t>
  </si>
  <si>
    <t>최대 SP 보유량</t>
    <phoneticPr fontId="1" type="noConversion"/>
  </si>
  <si>
    <t>기본 공격력</t>
    <phoneticPr fontId="1" type="noConversion"/>
  </si>
  <si>
    <t>기본 방어력</t>
    <phoneticPr fontId="1" type="noConversion"/>
  </si>
  <si>
    <t>기본 SP 보유량</t>
    <phoneticPr fontId="1" type="noConversion"/>
  </si>
  <si>
    <t>기본 스피드 값</t>
    <phoneticPr fontId="1" type="noConversion"/>
  </si>
  <si>
    <t>치명타 확률</t>
    <phoneticPr fontId="1" type="noConversion"/>
  </si>
  <si>
    <t>치명타 데미지 배율</t>
    <phoneticPr fontId="1" type="noConversion"/>
  </si>
  <si>
    <t>카운터 데미지 배율</t>
    <phoneticPr fontId="1" type="noConversion"/>
  </si>
  <si>
    <t>스킬 ID</t>
    <phoneticPr fontId="1" type="noConversion"/>
  </si>
  <si>
    <t>속성 과부하 계수</t>
    <phoneticPr fontId="1" type="noConversion"/>
  </si>
  <si>
    <t>에셋 파일</t>
    <phoneticPr fontId="1" type="noConversion"/>
  </si>
  <si>
    <t>string[]</t>
  </si>
  <si>
    <t>double[]</t>
  </si>
  <si>
    <t>Critical_Chance</t>
  </si>
  <si>
    <t>Critical_Damage_Rate</t>
  </si>
  <si>
    <t>Counter_Damage_Rate</t>
  </si>
  <si>
    <t>Skill_ID</t>
  </si>
  <si>
    <t>Element_Charge_Rate</t>
  </si>
  <si>
    <t>Overload_Rate</t>
  </si>
  <si>
    <t>Asset_File</t>
  </si>
  <si>
    <t>1.0,1.0,1.0,1.0,1.0,1.0</t>
  </si>
  <si>
    <t>player_Rifleman</t>
  </si>
  <si>
    <t>player_Sniper</t>
  </si>
  <si>
    <t>player_Commissar</t>
  </si>
  <si>
    <t>penguin_Sniper</t>
  </si>
  <si>
    <t>penguin_Commander</t>
  </si>
  <si>
    <t>penguin_Berserker</t>
  </si>
  <si>
    <t>속성 게이지 효율 계수</t>
    <phoneticPr fontId="1" type="noConversion"/>
  </si>
  <si>
    <t>enum:SIDE:NONE</t>
  </si>
  <si>
    <t>enum:SIDE:NONE</t>
    <phoneticPr fontId="1" type="noConversion"/>
  </si>
  <si>
    <t>캐릭터 진영 구분</t>
    <phoneticPr fontId="1" type="noConversion"/>
  </si>
  <si>
    <t>Name</t>
    <phoneticPr fontId="1" type="noConversion"/>
  </si>
  <si>
    <t>Max_HP</t>
    <phoneticPr fontId="1" type="noConversion"/>
  </si>
  <si>
    <t>Default_SP</t>
    <phoneticPr fontId="1" type="noConversion"/>
  </si>
  <si>
    <t>Default_Speed</t>
    <phoneticPr fontId="1" type="noConversion"/>
  </si>
  <si>
    <t>Default_Defense</t>
    <phoneticPr fontId="1" type="noConversion"/>
  </si>
  <si>
    <t>Side</t>
    <phoneticPr fontId="1" type="noConversion"/>
  </si>
  <si>
    <t>Default_Attack</t>
    <phoneticPr fontId="1" type="noConversion"/>
  </si>
  <si>
    <t>Max_SP</t>
    <phoneticPr fontId="1" type="noConversion"/>
  </si>
  <si>
    <t>Element_Charge_Resist</t>
    <phoneticPr fontId="1" type="noConversion"/>
  </si>
  <si>
    <t>속성 게이지 저항 계수</t>
    <phoneticPr fontId="1" type="noConversion"/>
  </si>
  <si>
    <t>CHARACTER_NAME_1001</t>
    <phoneticPr fontId="1" type="noConversion"/>
  </si>
  <si>
    <t>CHARACTER_NAME_1002</t>
    <phoneticPr fontId="1" type="noConversion"/>
  </si>
  <si>
    <t>CHARACTER_NAME_1003</t>
    <phoneticPr fontId="1" type="noConversion"/>
  </si>
  <si>
    <t>MONSTER_NAME_2001</t>
    <phoneticPr fontId="1" type="noConversion"/>
  </si>
  <si>
    <t>MONSTER_NAME_2002</t>
    <phoneticPr fontId="1" type="noConversion"/>
  </si>
  <si>
    <t>MONSTER_NAME_2003</t>
    <phoneticPr fontId="1" type="noConversion"/>
  </si>
  <si>
    <t>MONSTER_NAME_2004</t>
    <phoneticPr fontId="1" type="noConversion"/>
  </si>
  <si>
    <t xml:space="preserve"> </t>
    <phoneticPr fontId="1" type="noConversion"/>
  </si>
  <si>
    <t>20001001,
20012001,20012002,
20012003,20012004</t>
    <phoneticPr fontId="1" type="noConversion"/>
  </si>
  <si>
    <t>penguin_Rifleman</t>
    <phoneticPr fontId="1" type="noConversion"/>
  </si>
  <si>
    <t>1.0,1.0,1.0,1.0,1.0,1.0</t>
    <phoneticPr fontId="1" type="noConversion"/>
  </si>
  <si>
    <t>0.3,0.3,0.3,0.3,0.3,0.3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</si>
</sst>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0"/>
    <numFmt numFmtId="184" formatCode="0.0000000_);[Red]\(0.0000000\)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84" fontId="0" fillId="0" borderId="1" xfId="0" applyNumberFormat="1" applyBorder="1">
      <alignment vertical="center"/>
    </xf>
    <xf numFmtId="184" fontId="0" fillId="0" borderId="0" xfId="0" applyNumberFormat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4" sqref="A14"/>
    </sheetView>
  </sheetViews>
  <sheetFormatPr defaultRowHeight="16.5" x14ac:dyDescent="0.3"/>
  <cols>
    <col min="1" max="1" width="16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114</v>
      </c>
      <c r="C13" t="s">
        <v>72</v>
      </c>
    </row>
    <row r="14" spans="1:5" x14ac:dyDescent="0.3">
      <c r="C14" t="s">
        <v>73</v>
      </c>
    </row>
    <row r="16" spans="1:5" x14ac:dyDescent="0.3">
      <c r="C16" t="s">
        <v>78</v>
      </c>
    </row>
    <row r="17" spans="3:3" x14ac:dyDescent="0.3">
      <c r="C17" t="s">
        <v>79</v>
      </c>
    </row>
    <row r="18" spans="3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workbookViewId="0">
      <pane ySplit="4" topLeftCell="A5" activePane="bottomLeft" state="frozen"/>
      <selection pane="bottomLeft" activeCell="L4" sqref="L4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Y16"/>
  <sheetViews>
    <sheetView tabSelected="1" zoomScale="130" zoomScaleNormal="130" workbookViewId="0">
      <selection activeCell="I11" sqref="I11"/>
    </sheetView>
  </sheetViews>
  <sheetFormatPr defaultRowHeight="16.5" x14ac:dyDescent="0.3"/>
  <cols>
    <col min="1" max="1" width="15.5" style="33" bestFit="1" customWidth="1"/>
    <col min="2" max="2" width="6.375" style="33" bestFit="1" customWidth="1"/>
    <col min="3" max="3" width="6" style="35" bestFit="1" customWidth="1"/>
    <col min="4" max="4" width="6" style="33" bestFit="1" customWidth="1"/>
    <col min="5" max="5" width="15.5" bestFit="1" customWidth="1"/>
    <col min="6" max="6" width="24.375" bestFit="1" customWidth="1"/>
    <col min="7" max="7" width="12.375" bestFit="1" customWidth="1"/>
    <col min="8" max="8" width="14.625" bestFit="1" customWidth="1"/>
    <col min="9" max="9" width="17.625" bestFit="1" customWidth="1"/>
    <col min="10" max="10" width="19.375" bestFit="1" customWidth="1"/>
    <col min="11" max="11" width="19" bestFit="1" customWidth="1"/>
    <col min="12" max="12" width="19.875" bestFit="1" customWidth="1"/>
    <col min="13" max="13" width="13.5" bestFit="1" customWidth="1"/>
    <col min="14" max="14" width="18.875" bestFit="1" customWidth="1"/>
    <col min="15" max="15" width="21.125" bestFit="1" customWidth="1"/>
    <col min="16" max="16" width="28" style="33" bestFit="1" customWidth="1"/>
    <col min="17" max="17" width="18.5" bestFit="1" customWidth="1"/>
    <col min="18" max="18" width="20.125" style="37" bestFit="1" customWidth="1"/>
    <col min="19" max="19" width="18.5" bestFit="1" customWidth="1"/>
    <col min="20" max="20" width="21" bestFit="1" customWidth="1"/>
  </cols>
  <sheetData>
    <row r="1" spans="1:25" x14ac:dyDescent="0.3">
      <c r="A1" t="s">
        <v>81</v>
      </c>
      <c r="B1"/>
      <c r="C1"/>
      <c r="D1"/>
      <c r="P1"/>
      <c r="R1"/>
    </row>
    <row r="2" spans="1:25" x14ac:dyDescent="0.3">
      <c r="A2" s="21" t="s">
        <v>77</v>
      </c>
      <c r="B2" s="22" t="s">
        <v>60</v>
      </c>
      <c r="C2" s="23" t="s">
        <v>62</v>
      </c>
      <c r="D2" s="23" t="s">
        <v>76</v>
      </c>
      <c r="E2" s="23" t="s">
        <v>115</v>
      </c>
      <c r="F2" s="22" t="s">
        <v>82</v>
      </c>
      <c r="G2" s="22" t="s">
        <v>83</v>
      </c>
      <c r="H2" s="22" t="s">
        <v>85</v>
      </c>
      <c r="I2" s="22" t="s">
        <v>86</v>
      </c>
      <c r="J2" s="22" t="s">
        <v>87</v>
      </c>
      <c r="K2" s="22" t="s">
        <v>88</v>
      </c>
      <c r="L2" s="22" t="s">
        <v>89</v>
      </c>
      <c r="M2" s="22" t="s">
        <v>90</v>
      </c>
      <c r="N2" s="22" t="s">
        <v>91</v>
      </c>
      <c r="O2" s="22" t="s">
        <v>92</v>
      </c>
      <c r="P2" s="22" t="s">
        <v>93</v>
      </c>
      <c r="Q2" s="22" t="s">
        <v>112</v>
      </c>
      <c r="R2" s="22" t="s">
        <v>125</v>
      </c>
      <c r="S2" s="22" t="s">
        <v>94</v>
      </c>
      <c r="T2" s="22" t="s">
        <v>95</v>
      </c>
      <c r="U2" s="22"/>
      <c r="V2" s="22"/>
      <c r="W2" s="22"/>
      <c r="X2" s="22"/>
      <c r="Y2" s="22"/>
    </row>
    <row r="3" spans="1:25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113</v>
      </c>
      <c r="F3" s="29" t="s">
        <v>70</v>
      </c>
      <c r="G3" s="29" t="s">
        <v>84</v>
      </c>
      <c r="H3" s="29" t="s">
        <v>58</v>
      </c>
      <c r="I3" s="29" t="s">
        <v>84</v>
      </c>
      <c r="J3" s="29" t="s">
        <v>84</v>
      </c>
      <c r="K3" s="29" t="s">
        <v>58</v>
      </c>
      <c r="L3" s="29" t="s">
        <v>84</v>
      </c>
      <c r="M3" s="29" t="s">
        <v>84</v>
      </c>
      <c r="N3" s="29" t="s">
        <v>84</v>
      </c>
      <c r="O3" s="29" t="s">
        <v>84</v>
      </c>
      <c r="P3" s="29" t="s">
        <v>96</v>
      </c>
      <c r="Q3" s="29" t="s">
        <v>97</v>
      </c>
      <c r="R3" s="29" t="s">
        <v>97</v>
      </c>
      <c r="S3" s="29" t="s">
        <v>97</v>
      </c>
      <c r="T3" s="29" t="s">
        <v>70</v>
      </c>
      <c r="U3" s="29"/>
      <c r="V3" s="29"/>
      <c r="W3" s="29"/>
      <c r="X3" s="29"/>
      <c r="Y3" s="29"/>
    </row>
    <row r="4" spans="1:25" s="27" customFormat="1" ht="13.5" x14ac:dyDescent="0.3">
      <c r="A4" s="26" t="s">
        <v>55</v>
      </c>
      <c r="B4" s="26" t="s">
        <v>59</v>
      </c>
      <c r="C4" s="26" t="s">
        <v>61</v>
      </c>
      <c r="D4" s="26" t="s">
        <v>63</v>
      </c>
      <c r="E4" s="26" t="s">
        <v>121</v>
      </c>
      <c r="F4" s="26" t="s">
        <v>116</v>
      </c>
      <c r="G4" s="26" t="s">
        <v>117</v>
      </c>
      <c r="H4" s="26" t="s">
        <v>123</v>
      </c>
      <c r="I4" s="26" t="s">
        <v>122</v>
      </c>
      <c r="J4" s="26" t="s">
        <v>120</v>
      </c>
      <c r="K4" s="26" t="s">
        <v>118</v>
      </c>
      <c r="L4" s="26" t="s">
        <v>119</v>
      </c>
      <c r="M4" s="26" t="s">
        <v>98</v>
      </c>
      <c r="N4" s="26" t="s">
        <v>99</v>
      </c>
      <c r="O4" s="26" t="s">
        <v>100</v>
      </c>
      <c r="P4" s="26" t="s">
        <v>101</v>
      </c>
      <c r="Q4" s="26" t="s">
        <v>102</v>
      </c>
      <c r="R4" s="26" t="s">
        <v>124</v>
      </c>
      <c r="S4" s="26" t="s">
        <v>103</v>
      </c>
      <c r="T4" s="26" t="s">
        <v>104</v>
      </c>
      <c r="U4" s="26"/>
      <c r="V4" s="26"/>
      <c r="W4" s="26"/>
      <c r="X4" s="26"/>
      <c r="Y4" s="26"/>
    </row>
    <row r="5" spans="1:25" ht="49.5" x14ac:dyDescent="0.3">
      <c r="A5" s="25">
        <f>(B5*1000000) + (C5*10000) + D5</f>
        <v>10001001</v>
      </c>
      <c r="B5" s="32">
        <v>10</v>
      </c>
      <c r="C5" s="34">
        <v>0</v>
      </c>
      <c r="D5" s="25">
        <v>1001</v>
      </c>
      <c r="E5" s="24">
        <v>1</v>
      </c>
      <c r="F5" s="24" t="s">
        <v>126</v>
      </c>
      <c r="G5" s="31">
        <v>100</v>
      </c>
      <c r="H5" s="24">
        <v>9</v>
      </c>
      <c r="I5" s="31">
        <v>40</v>
      </c>
      <c r="J5" s="31">
        <v>10</v>
      </c>
      <c r="K5" s="24">
        <v>3</v>
      </c>
      <c r="L5" s="24">
        <v>10</v>
      </c>
      <c r="M5" s="31">
        <v>0.3</v>
      </c>
      <c r="N5" s="31">
        <v>1.3</v>
      </c>
      <c r="O5" s="31">
        <v>1.3</v>
      </c>
      <c r="P5" s="6" t="s">
        <v>134</v>
      </c>
      <c r="Q5" s="30" t="s">
        <v>136</v>
      </c>
      <c r="R5" s="36" t="s">
        <v>137</v>
      </c>
      <c r="S5" s="30" t="s">
        <v>105</v>
      </c>
      <c r="T5" s="25" t="s">
        <v>106</v>
      </c>
      <c r="U5" s="25"/>
      <c r="V5" s="25"/>
      <c r="W5" s="25"/>
      <c r="X5" s="25"/>
      <c r="Y5" s="25"/>
    </row>
    <row r="6" spans="1:25" x14ac:dyDescent="0.3">
      <c r="A6" s="25">
        <f t="shared" ref="A6:A11" si="0">(B6*1000000) + (C6*10000) + D6</f>
        <v>10001002</v>
      </c>
      <c r="B6" s="32">
        <v>10</v>
      </c>
      <c r="C6" s="34">
        <v>0</v>
      </c>
      <c r="D6" s="25">
        <v>1002</v>
      </c>
      <c r="E6" s="24">
        <v>1</v>
      </c>
      <c r="F6" s="24" t="s">
        <v>127</v>
      </c>
      <c r="G6" s="31">
        <v>100</v>
      </c>
      <c r="H6" s="24">
        <v>9</v>
      </c>
      <c r="I6" s="31">
        <v>40</v>
      </c>
      <c r="J6" s="31">
        <v>10</v>
      </c>
      <c r="K6" s="24">
        <v>3</v>
      </c>
      <c r="L6" s="24">
        <v>10</v>
      </c>
      <c r="M6" s="31">
        <v>0.3</v>
      </c>
      <c r="N6" s="31">
        <v>1.3</v>
      </c>
      <c r="O6" s="31">
        <v>1.3</v>
      </c>
      <c r="P6" s="25"/>
      <c r="Q6" s="30" t="s">
        <v>136</v>
      </c>
      <c r="R6" s="36" t="s">
        <v>137</v>
      </c>
      <c r="S6" s="30" t="s">
        <v>105</v>
      </c>
      <c r="T6" s="25" t="s">
        <v>107</v>
      </c>
      <c r="U6" s="25"/>
      <c r="V6" s="25"/>
      <c r="W6" s="25"/>
      <c r="X6" s="25"/>
      <c r="Y6" s="25"/>
    </row>
    <row r="7" spans="1:25" x14ac:dyDescent="0.3">
      <c r="A7" s="25">
        <f t="shared" si="0"/>
        <v>10001003</v>
      </c>
      <c r="B7" s="33">
        <v>10</v>
      </c>
      <c r="C7" s="34">
        <v>0</v>
      </c>
      <c r="D7" s="25">
        <v>1003</v>
      </c>
      <c r="E7" s="24">
        <v>1</v>
      </c>
      <c r="F7" s="24" t="s">
        <v>128</v>
      </c>
      <c r="G7" s="31">
        <v>100</v>
      </c>
      <c r="H7" s="24">
        <v>9</v>
      </c>
      <c r="I7" s="31">
        <v>40</v>
      </c>
      <c r="J7" s="31">
        <v>10</v>
      </c>
      <c r="K7" s="24">
        <v>3</v>
      </c>
      <c r="L7" s="24">
        <v>10</v>
      </c>
      <c r="M7" s="31">
        <v>0.3</v>
      </c>
      <c r="N7" s="31">
        <v>1.3</v>
      </c>
      <c r="O7" s="31">
        <v>1.3</v>
      </c>
      <c r="P7" s="25"/>
      <c r="Q7" s="30" t="s">
        <v>136</v>
      </c>
      <c r="R7" s="36" t="s">
        <v>137</v>
      </c>
      <c r="S7" s="30" t="s">
        <v>105</v>
      </c>
      <c r="T7" s="30" t="s">
        <v>108</v>
      </c>
      <c r="U7" s="30"/>
      <c r="V7" s="30"/>
      <c r="W7" s="30"/>
      <c r="X7" s="30"/>
      <c r="Y7" s="30"/>
    </row>
    <row r="8" spans="1:25" x14ac:dyDescent="0.3">
      <c r="A8" s="25">
        <f t="shared" si="0"/>
        <v>10012001</v>
      </c>
      <c r="B8" s="32">
        <v>10</v>
      </c>
      <c r="C8" s="34">
        <v>1</v>
      </c>
      <c r="D8" s="25">
        <v>2001</v>
      </c>
      <c r="E8" s="24">
        <v>2</v>
      </c>
      <c r="F8" s="24" t="s">
        <v>129</v>
      </c>
      <c r="G8" s="31">
        <v>100</v>
      </c>
      <c r="H8" s="24">
        <v>9</v>
      </c>
      <c r="I8" s="31">
        <v>40</v>
      </c>
      <c r="J8" s="31">
        <v>10</v>
      </c>
      <c r="K8" s="24">
        <v>3</v>
      </c>
      <c r="L8" s="24">
        <v>10</v>
      </c>
      <c r="M8" s="31">
        <v>0.3</v>
      </c>
      <c r="N8" s="31">
        <v>1.3</v>
      </c>
      <c r="O8" s="31">
        <v>1</v>
      </c>
      <c r="P8" s="25"/>
      <c r="Q8" s="30" t="s">
        <v>136</v>
      </c>
      <c r="R8" s="36" t="s">
        <v>137</v>
      </c>
      <c r="S8" s="30" t="s">
        <v>105</v>
      </c>
      <c r="T8" s="30" t="s">
        <v>135</v>
      </c>
      <c r="U8" s="30"/>
      <c r="V8" s="30"/>
      <c r="W8" s="30"/>
      <c r="X8" s="30"/>
      <c r="Y8" s="30"/>
    </row>
    <row r="9" spans="1:25" x14ac:dyDescent="0.3">
      <c r="A9" s="25">
        <f t="shared" si="0"/>
        <v>10012002</v>
      </c>
      <c r="B9" s="32">
        <v>10</v>
      </c>
      <c r="C9" s="34">
        <v>1</v>
      </c>
      <c r="D9" s="25">
        <v>2002</v>
      </c>
      <c r="E9" s="24">
        <v>2</v>
      </c>
      <c r="F9" s="24" t="s">
        <v>130</v>
      </c>
      <c r="G9" s="31">
        <v>100</v>
      </c>
      <c r="H9" s="24">
        <v>9</v>
      </c>
      <c r="I9" s="31">
        <v>40</v>
      </c>
      <c r="J9" s="31">
        <v>10</v>
      </c>
      <c r="K9" s="24">
        <v>3</v>
      </c>
      <c r="L9" s="24">
        <v>10</v>
      </c>
      <c r="M9" s="31">
        <v>0.3</v>
      </c>
      <c r="N9" s="31">
        <v>1.3</v>
      </c>
      <c r="O9" s="31">
        <v>1</v>
      </c>
      <c r="P9" s="25"/>
      <c r="Q9" s="30" t="s">
        <v>136</v>
      </c>
      <c r="R9" s="36" t="s">
        <v>137</v>
      </c>
      <c r="S9" s="30" t="s">
        <v>105</v>
      </c>
      <c r="T9" s="30" t="s">
        <v>109</v>
      </c>
      <c r="U9" s="30"/>
      <c r="V9" s="30"/>
      <c r="W9" s="30"/>
      <c r="X9" s="30"/>
      <c r="Y9" s="30"/>
    </row>
    <row r="10" spans="1:25" x14ac:dyDescent="0.3">
      <c r="A10" s="25">
        <f t="shared" si="0"/>
        <v>10012003</v>
      </c>
      <c r="B10" s="32">
        <v>10</v>
      </c>
      <c r="C10" s="34">
        <v>1</v>
      </c>
      <c r="D10" s="25">
        <v>2003</v>
      </c>
      <c r="E10" s="24">
        <v>2</v>
      </c>
      <c r="F10" s="24" t="s">
        <v>131</v>
      </c>
      <c r="G10" s="31">
        <v>100</v>
      </c>
      <c r="H10" s="24">
        <v>9</v>
      </c>
      <c r="I10" s="31">
        <v>40</v>
      </c>
      <c r="J10" s="31">
        <v>10</v>
      </c>
      <c r="K10" s="24">
        <v>3</v>
      </c>
      <c r="L10" s="24">
        <v>10</v>
      </c>
      <c r="M10" s="31">
        <v>0.3</v>
      </c>
      <c r="N10" s="31">
        <v>1.3</v>
      </c>
      <c r="O10" s="31">
        <v>1</v>
      </c>
      <c r="P10" s="25"/>
      <c r="Q10" s="30" t="s">
        <v>136</v>
      </c>
      <c r="R10" s="36" t="s">
        <v>137</v>
      </c>
      <c r="S10" s="30" t="s">
        <v>105</v>
      </c>
      <c r="T10" s="30" t="s">
        <v>110</v>
      </c>
      <c r="U10" s="30"/>
      <c r="V10" s="30"/>
      <c r="W10" s="30"/>
      <c r="X10" s="30"/>
      <c r="Y10" s="30"/>
    </row>
    <row r="11" spans="1:25" x14ac:dyDescent="0.3">
      <c r="A11" s="25">
        <f t="shared" si="0"/>
        <v>10012004</v>
      </c>
      <c r="B11" s="32">
        <v>10</v>
      </c>
      <c r="C11" s="34">
        <v>1</v>
      </c>
      <c r="D11" s="25">
        <v>2004</v>
      </c>
      <c r="E11" s="24">
        <v>2</v>
      </c>
      <c r="F11" s="24" t="s">
        <v>132</v>
      </c>
      <c r="G11" s="31">
        <v>100</v>
      </c>
      <c r="H11" s="24">
        <v>9</v>
      </c>
      <c r="I11" s="31">
        <v>40</v>
      </c>
      <c r="J11" s="31">
        <v>10</v>
      </c>
      <c r="K11" s="24">
        <v>3</v>
      </c>
      <c r="L11" s="24">
        <v>10</v>
      </c>
      <c r="M11" s="31">
        <v>0.3</v>
      </c>
      <c r="N11" s="31">
        <v>1.3</v>
      </c>
      <c r="O11" s="31">
        <v>1</v>
      </c>
      <c r="P11" s="25"/>
      <c r="Q11" s="30" t="s">
        <v>136</v>
      </c>
      <c r="R11" s="36" t="s">
        <v>137</v>
      </c>
      <c r="S11" s="30" t="s">
        <v>105</v>
      </c>
      <c r="T11" s="30" t="s">
        <v>111</v>
      </c>
      <c r="U11" s="30"/>
      <c r="V11" s="30"/>
      <c r="W11" s="30"/>
      <c r="X11" s="30"/>
      <c r="Y11" s="30"/>
    </row>
    <row r="12" spans="1:25" x14ac:dyDescent="0.3">
      <c r="A12" s="25"/>
      <c r="B12" s="32"/>
      <c r="C12" s="34"/>
      <c r="D12" s="25"/>
      <c r="E12" s="24"/>
      <c r="F12" s="30"/>
      <c r="G12" s="31"/>
      <c r="H12" s="24"/>
      <c r="I12" s="31"/>
      <c r="J12" s="31"/>
      <c r="K12" s="24"/>
      <c r="L12" s="24"/>
      <c r="M12" s="31"/>
      <c r="N12" s="31"/>
      <c r="O12" s="31"/>
      <c r="P12" s="25"/>
      <c r="Q12" s="30"/>
      <c r="R12" s="36"/>
      <c r="S12" s="30"/>
      <c r="T12" s="30"/>
      <c r="U12" s="30"/>
      <c r="V12" s="30"/>
      <c r="W12" s="30"/>
      <c r="X12" s="30"/>
      <c r="Y12" s="30"/>
    </row>
    <row r="13" spans="1:25" x14ac:dyDescent="0.3">
      <c r="A13" s="25"/>
      <c r="B13" s="32"/>
      <c r="C13" s="34"/>
      <c r="D13" s="25"/>
      <c r="E13" s="30"/>
      <c r="F13" s="30" t="s">
        <v>133</v>
      </c>
      <c r="G13" s="31"/>
      <c r="H13" s="24"/>
      <c r="I13" s="31"/>
      <c r="J13" s="31"/>
      <c r="K13" s="24"/>
      <c r="L13" s="24"/>
      <c r="M13" s="31"/>
      <c r="N13" s="31"/>
      <c r="O13" s="31"/>
      <c r="P13" s="25"/>
      <c r="Q13" s="30"/>
      <c r="R13" s="36"/>
      <c r="S13" s="30"/>
      <c r="T13" s="30"/>
      <c r="U13" s="30"/>
      <c r="V13" s="30"/>
      <c r="W13" s="30"/>
      <c r="X13" s="30"/>
      <c r="Y13" s="30"/>
    </row>
    <row r="14" spans="1:25" x14ac:dyDescent="0.3">
      <c r="A14" s="25"/>
      <c r="B14" s="32"/>
      <c r="C14" s="34"/>
      <c r="D14" s="25"/>
      <c r="E14" s="30"/>
      <c r="F14" s="30"/>
      <c r="G14" s="31"/>
      <c r="H14" s="24"/>
      <c r="I14" s="31"/>
      <c r="J14" s="31"/>
      <c r="K14" s="24"/>
      <c r="L14" s="24"/>
      <c r="M14" s="31"/>
      <c r="N14" s="31"/>
      <c r="O14" s="31"/>
      <c r="P14" s="25"/>
      <c r="Q14" s="30"/>
      <c r="R14" s="36"/>
      <c r="S14" s="30"/>
      <c r="T14" s="30"/>
      <c r="U14" s="30"/>
      <c r="V14" s="30"/>
      <c r="W14" s="30"/>
      <c r="X14" s="30"/>
      <c r="Y14" s="30"/>
    </row>
    <row r="15" spans="1:25" x14ac:dyDescent="0.3">
      <c r="A15" s="25"/>
      <c r="B15" s="32"/>
      <c r="C15" s="34"/>
      <c r="D15" s="25"/>
      <c r="E15" s="30"/>
      <c r="F15" s="30"/>
      <c r="G15" s="31"/>
      <c r="H15" s="24"/>
      <c r="I15" s="31"/>
      <c r="J15" s="31"/>
      <c r="K15" s="24"/>
      <c r="L15" s="24"/>
      <c r="M15" s="31"/>
      <c r="N15" s="31"/>
      <c r="O15" s="31"/>
      <c r="P15" s="25"/>
      <c r="Q15" s="30"/>
      <c r="R15" s="36"/>
      <c r="S15" s="30"/>
      <c r="T15" s="30"/>
      <c r="U15" s="30"/>
      <c r="V15" s="30"/>
      <c r="W15" s="30"/>
      <c r="X15" s="30"/>
      <c r="Y15" s="30"/>
    </row>
    <row r="16" spans="1:25" x14ac:dyDescent="0.3">
      <c r="A16" s="25"/>
      <c r="B16" s="25"/>
      <c r="C16" s="34"/>
      <c r="D16" s="25"/>
      <c r="E16" s="30"/>
      <c r="F16" s="30"/>
      <c r="G16" s="31"/>
      <c r="H16" s="24"/>
      <c r="I16" s="31"/>
      <c r="J16" s="31"/>
      <c r="K16" s="24"/>
      <c r="L16" s="24"/>
      <c r="M16" s="31"/>
      <c r="N16" s="31"/>
      <c r="O16" s="31"/>
      <c r="P16" s="25"/>
      <c r="Q16" s="30"/>
      <c r="R16" s="36"/>
      <c r="S16" s="30"/>
      <c r="T16" s="30"/>
      <c r="U16" s="30"/>
      <c r="V16" s="30"/>
      <c r="W16" s="30"/>
      <c r="X16" s="30"/>
      <c r="Y16" s="30"/>
    </row>
  </sheetData>
  <phoneticPr fontId="1" type="noConversion"/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CharacterTable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2025-11-06T16:54:14Z</dcterms:modified>
</cp:coreProperties>
</file>