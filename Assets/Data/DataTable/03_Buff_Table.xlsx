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7ADD01CA-FA4E-4251-9FE6-E2F049CE3E8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Buf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3" l="1"/>
  <c r="A35" i="3"/>
  <c r="A36" i="3"/>
  <c r="A37" i="3"/>
  <c r="A38" i="3"/>
  <c r="A31" i="3"/>
  <c r="A32" i="3"/>
  <c r="A33" i="3"/>
  <c r="A30" i="3"/>
  <c r="A29" i="3"/>
  <c r="A28" i="3"/>
  <c r="A19" i="3"/>
  <c r="A20" i="3"/>
  <c r="A21" i="3"/>
  <c r="A22" i="3"/>
  <c r="A23" i="3"/>
  <c r="A24" i="3"/>
  <c r="A25" i="3"/>
  <c r="A26" i="3"/>
  <c r="A27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돋움"/>
            <family val="3"/>
            <charset val="129"/>
          </rPr>
          <t>종류에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상관없이</t>
        </r>
        <r>
          <rPr>
            <b/>
            <sz val="9"/>
            <color indexed="81"/>
            <rFont val="Tahoma"/>
            <family val="2"/>
          </rPr>
          <t xml:space="preserve"> 00</t>
        </r>
        <r>
          <rPr>
            <b/>
            <sz val="9"/>
            <color indexed="81"/>
            <rFont val="돋움"/>
            <family val="3"/>
            <charset val="129"/>
          </rPr>
          <t>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물리 속성 게이지 저항 계수
16: 화염 속성 게이지 저항 계수
17: 방사능 속성 게이지 저항 계수
18: 중력 속성 게이지 저항 계수
19: 공허 속성 게이지 저항 계수
20: 신성 속성 게이지 저항 계수
21: 물리 속성 과부하 계수
22: 화염 속성 과부하 계수
23: 방사능 속성 과부하 계수
24: 중력 속성 과부하 계수
25: 공허 속성 과부하 계수
26: 신성 속성 과부하 계수
27: 피해 배율
28: 받는 피해 배율
29: SP 소모량 증가
30: 매턴 데미지
31: 매턴 체력 회복
32: 기절
33: 이상
34: 침묵</t>
        </r>
      </text>
    </comment>
  </commentList>
</comments>
</file>

<file path=xl/sharedStrings.xml><?xml version="1.0" encoding="utf-8"?>
<sst xmlns="http://schemas.openxmlformats.org/spreadsheetml/2006/main" count="122" uniqueCount="100">
  <si>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</si>
  <si>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</si>
  <si>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</si>
  <si>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</si>
  <si>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</si>
  <si>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</si>
  <si>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</si>
  <si>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</si>
  <si>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</si>
  <si>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</si>
  <si>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</si>
  <si>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</si>
  <si>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</si>
  <si>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</si>
  <si>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</si>
  <si>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</si>
  <si>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</si>
  <si>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</si>
  <si>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</si>
  <si>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</si>
  <si>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</si>
  <si>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</si>
  <si>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</si>
  <si>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</si>
  <si>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</si>
  <si>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</si>
  <si>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</si>
  <si>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</si>
  <si>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</si>
  <si>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</si>
  <si>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</si>
  <si>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</si>
  <si>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</si>
  <si>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</si>
  <si>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</si>
  <si>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</si>
  <si>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</si>
  <si>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</si>
  <si>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</si>
  <si>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</si>
  <si>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</si>
  <si>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</si>
  <si>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</si>
  <si>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</si>
  <si>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</si>
  <si>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</si>
  <si>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</si>
  <si>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</si>
  <si>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</si>
  <si>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</si>
  <si>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</si>
  <si>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</si>
  <si>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</si>
  <si>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</si>
  <si>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</si>
  <si>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</si>
  <si>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</si>
  <si>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</si>
  <si>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</si>
  <si>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</si>
  <si>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</si>
  <si>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</si>
  <si>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</si>
  <si>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</si>
  <si>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</si>
  <si>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</si>
  <si>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</si>
  <si>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</si>
  <si>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</si>
  <si>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</si>
  <si>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</si>
  <si>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</si>
  <si>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</si>
  <si>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</si>
  <si>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</si>
  <si>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</si>
  <si>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</si>
  <si>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</si>
  <si>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</si>
  <si>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</si>
  <si>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</si>
  <si>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버프 카테고리</t>
    <phoneticPr fontId="1" type="noConversion"/>
  </si>
  <si>
    <t>enum:Calculate_Mode</t>
    <phoneticPr fontId="1" type="noConversion"/>
  </si>
  <si>
    <t>enum:BUFF_TYPE:NONE</t>
  </si>
  <si>
    <t>enum:BUFF_TYPE:NONE</t>
    <phoneticPr fontId="1" type="noConversion"/>
  </si>
  <si>
    <t>Buff_Type</t>
    <phoneticPr fontId="1" type="noConversion"/>
  </si>
  <si>
    <t>Buff_ID</t>
    <phoneticPr fontId="1" type="noConversion"/>
  </si>
  <si>
    <t>Table_Buff</t>
    <phoneticPr fontId="1" type="noConversion"/>
  </si>
  <si>
    <t>1025</t>
    <phoneticPr fontId="1" type="noConversion"/>
  </si>
  <si>
    <t>1026</t>
    <phoneticPr fontId="1" type="noConversion"/>
  </si>
  <si>
    <t>1010</t>
    <phoneticPr fontId="1" type="noConversion"/>
  </si>
  <si>
    <t>1027</t>
  </si>
  <si>
    <t>1028</t>
  </si>
  <si>
    <t>1029</t>
  </si>
  <si>
    <t>30</t>
    <phoneticPr fontId="1" type="noConversion"/>
  </si>
  <si>
    <t>1030</t>
  </si>
  <si>
    <t>1031</t>
  </si>
  <si>
    <t>1032</t>
  </si>
  <si>
    <t>1033</t>
  </si>
  <si>
    <t>1034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</si>
</sst>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82</v>
      </c>
      <c r="C14" t="s">
        <v>73</v>
      </c>
    </row>
    <row r="15" spans="1:5" x14ac:dyDescent="0.3">
      <c r="A15" s="19"/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L38"/>
  <sheetViews>
    <sheetView tabSelected="1" zoomScale="115" zoomScaleNormal="115" workbookViewId="0">
      <selection activeCell="F30" sqref="F30:F34"/>
    </sheetView>
  </sheetViews>
  <sheetFormatPr defaultRowHeight="16.5" x14ac:dyDescent="0.3"/>
  <cols>
    <col min="1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22.125" style="35" customWidth="1"/>
  </cols>
  <sheetData>
    <row r="1" spans="1:12" x14ac:dyDescent="0.3">
      <c r="A1" t="s">
        <v>87</v>
      </c>
      <c r="B1"/>
      <c r="C1"/>
      <c r="D1"/>
      <c r="E1"/>
      <c r="F1"/>
    </row>
    <row r="2" spans="1:12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81</v>
      </c>
      <c r="F2" s="22"/>
    </row>
    <row r="3" spans="1:12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/>
      <c r="L3"/>
    </row>
    <row r="4" spans="1:12" s="27" customFormat="1" x14ac:dyDescent="0.3">
      <c r="A4" s="26" t="s">
        <v>86</v>
      </c>
      <c r="B4" s="26" t="s">
        <v>59</v>
      </c>
      <c r="C4" s="26" t="s">
        <v>61</v>
      </c>
      <c r="D4" s="26" t="s">
        <v>63</v>
      </c>
      <c r="E4" s="26" t="s">
        <v>85</v>
      </c>
      <c r="F4" s="26"/>
      <c r="L4"/>
    </row>
    <row r="5" spans="1:12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34"/>
    </row>
    <row r="6" spans="1:12" x14ac:dyDescent="0.3">
      <c r="A6" s="25">
        <f>(B6*1000000) + (C6*10000) + D6</f>
        <v>30001002</v>
      </c>
      <c r="B6" s="25">
        <v>30</v>
      </c>
      <c r="C6" s="32">
        <v>0</v>
      </c>
      <c r="D6" s="25">
        <v>1002</v>
      </c>
      <c r="E6" s="24">
        <v>2</v>
      </c>
      <c r="F6" s="34"/>
    </row>
    <row r="7" spans="1:12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3</v>
      </c>
      <c r="F7" s="34"/>
    </row>
    <row r="8" spans="1:12" x14ac:dyDescent="0.3">
      <c r="A8" s="25">
        <f t="shared" si="0"/>
        <v>30001004</v>
      </c>
      <c r="B8" s="25">
        <v>30</v>
      </c>
      <c r="C8" s="32">
        <v>0</v>
      </c>
      <c r="D8" s="25">
        <v>1004</v>
      </c>
      <c r="E8" s="24">
        <v>4</v>
      </c>
      <c r="F8" s="34"/>
    </row>
    <row r="9" spans="1:12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5</v>
      </c>
      <c r="F9" s="34"/>
    </row>
    <row r="10" spans="1:12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6</v>
      </c>
      <c r="F10" s="34"/>
    </row>
    <row r="11" spans="1:12" x14ac:dyDescent="0.3">
      <c r="A11" s="25">
        <f t="shared" si="0"/>
        <v>30001007</v>
      </c>
      <c r="B11" s="25">
        <v>30</v>
      </c>
      <c r="C11" s="32">
        <v>0</v>
      </c>
      <c r="D11" s="25">
        <v>1007</v>
      </c>
      <c r="E11" s="24">
        <v>7</v>
      </c>
      <c r="F11" s="34"/>
    </row>
    <row r="12" spans="1:12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8</v>
      </c>
      <c r="F12" s="34"/>
    </row>
    <row r="13" spans="1:12" x14ac:dyDescent="0.3">
      <c r="A13" s="25">
        <f t="shared" si="0"/>
        <v>30001009</v>
      </c>
      <c r="B13" s="25">
        <v>30</v>
      </c>
      <c r="C13" s="32">
        <v>0</v>
      </c>
      <c r="D13" s="25">
        <v>1009</v>
      </c>
      <c r="E13" s="24">
        <v>9</v>
      </c>
      <c r="F13" s="34"/>
    </row>
    <row r="14" spans="1:12" x14ac:dyDescent="0.3">
      <c r="A14" s="25">
        <f t="shared" si="0"/>
        <v>30001010</v>
      </c>
      <c r="B14" s="25">
        <v>30</v>
      </c>
      <c r="C14" s="32">
        <v>0</v>
      </c>
      <c r="D14" s="25" t="s">
        <v>90</v>
      </c>
      <c r="E14" s="24">
        <v>10</v>
      </c>
      <c r="F14" s="34"/>
    </row>
    <row r="15" spans="1:12" x14ac:dyDescent="0.3">
      <c r="A15" s="25">
        <f t="shared" si="0"/>
        <v>30001011</v>
      </c>
      <c r="B15" s="25">
        <v>30</v>
      </c>
      <c r="C15" s="32">
        <v>0</v>
      </c>
      <c r="D15" s="25">
        <v>1011</v>
      </c>
      <c r="E15" s="24">
        <v>11</v>
      </c>
      <c r="F15" s="34"/>
      <c r="K15" s="27"/>
    </row>
    <row r="16" spans="1:12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12</v>
      </c>
      <c r="F16" s="34"/>
      <c r="K16" s="27"/>
    </row>
    <row r="17" spans="1:6" x14ac:dyDescent="0.3">
      <c r="A17" s="25">
        <f t="shared" si="0"/>
        <v>30001013</v>
      </c>
      <c r="B17" s="25">
        <v>30</v>
      </c>
      <c r="C17" s="32">
        <v>0</v>
      </c>
      <c r="D17" s="25">
        <v>1013</v>
      </c>
      <c r="E17" s="24">
        <v>13</v>
      </c>
      <c r="F17" s="34"/>
    </row>
    <row r="18" spans="1:6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14</v>
      </c>
      <c r="F18" s="34"/>
    </row>
    <row r="19" spans="1:6" x14ac:dyDescent="0.3">
      <c r="A19" s="25">
        <f t="shared" si="0"/>
        <v>30001015</v>
      </c>
      <c r="B19" s="25">
        <v>30</v>
      </c>
      <c r="C19" s="32">
        <v>0</v>
      </c>
      <c r="D19" s="25">
        <v>1015</v>
      </c>
      <c r="E19" s="24">
        <v>15</v>
      </c>
      <c r="F19" s="34"/>
    </row>
    <row r="20" spans="1:6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16</v>
      </c>
      <c r="F20" s="34"/>
    </row>
    <row r="21" spans="1:6" x14ac:dyDescent="0.3">
      <c r="A21" s="25">
        <f t="shared" ref="A21:A28" si="1">(B21*1000000) + (C21*10000) + D21</f>
        <v>30001017</v>
      </c>
      <c r="B21" s="25">
        <v>30</v>
      </c>
      <c r="C21" s="32">
        <v>0</v>
      </c>
      <c r="D21" s="25">
        <v>1017</v>
      </c>
      <c r="E21" s="24">
        <v>17</v>
      </c>
      <c r="F21" s="34"/>
    </row>
    <row r="22" spans="1:6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18</v>
      </c>
      <c r="F22" s="34"/>
    </row>
    <row r="23" spans="1:6" x14ac:dyDescent="0.3">
      <c r="A23" s="25">
        <f t="shared" si="1"/>
        <v>30001019</v>
      </c>
      <c r="B23" s="25">
        <v>30</v>
      </c>
      <c r="C23" s="32">
        <v>0</v>
      </c>
      <c r="D23" s="25">
        <v>1019</v>
      </c>
      <c r="E23" s="24">
        <v>19</v>
      </c>
      <c r="F23" s="34"/>
    </row>
    <row r="24" spans="1:6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20</v>
      </c>
      <c r="F24" s="34"/>
    </row>
    <row r="25" spans="1:6" x14ac:dyDescent="0.3">
      <c r="A25" s="25">
        <f t="shared" si="1"/>
        <v>30001021</v>
      </c>
      <c r="B25" s="25">
        <v>30</v>
      </c>
      <c r="C25" s="32">
        <v>0</v>
      </c>
      <c r="D25" s="25">
        <v>1021</v>
      </c>
      <c r="E25" s="24">
        <v>21</v>
      </c>
      <c r="F25" s="34"/>
    </row>
    <row r="26" spans="1:6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22</v>
      </c>
      <c r="F26" s="34"/>
    </row>
    <row r="27" spans="1:6" x14ac:dyDescent="0.3">
      <c r="A27" s="25">
        <f t="shared" si="1"/>
        <v>30001023</v>
      </c>
      <c r="B27" s="25">
        <v>30</v>
      </c>
      <c r="C27" s="32">
        <v>0</v>
      </c>
      <c r="D27" s="25">
        <v>1023</v>
      </c>
      <c r="E27" s="24">
        <v>23</v>
      </c>
      <c r="F27" s="34"/>
    </row>
    <row r="28" spans="1:6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24</v>
      </c>
      <c r="F28" s="34"/>
    </row>
    <row r="29" spans="1:6" x14ac:dyDescent="0.3">
      <c r="A29" s="25">
        <f t="shared" ref="A29" si="2">(B29*1000000) + (C29*10000) + D29</f>
        <v>30001025</v>
      </c>
      <c r="B29" s="25">
        <v>30</v>
      </c>
      <c r="C29" s="32">
        <v>0</v>
      </c>
      <c r="D29" s="25" t="s">
        <v>88</v>
      </c>
      <c r="E29" s="24">
        <v>25</v>
      </c>
      <c r="F29" s="34"/>
    </row>
    <row r="30" spans="1:6" x14ac:dyDescent="0.3">
      <c r="A30" s="25">
        <f>(B30*1000000) + (C30*10000) + D30</f>
        <v>30001026</v>
      </c>
      <c r="B30" s="25">
        <v>30</v>
      </c>
      <c r="C30" s="32">
        <v>0</v>
      </c>
      <c r="D30" s="25" t="s">
        <v>89</v>
      </c>
      <c r="E30" s="24">
        <v>26</v>
      </c>
      <c r="F30" s="34"/>
    </row>
    <row r="31" spans="1:6" x14ac:dyDescent="0.3">
      <c r="A31" s="25">
        <f t="shared" ref="A31" si="3">(B31*1000000) + (C31*10000) + D31</f>
        <v>30001027</v>
      </c>
      <c r="B31" s="25" t="s">
        <v>94</v>
      </c>
      <c r="C31" s="32">
        <v>0</v>
      </c>
      <c r="D31" s="25" t="s">
        <v>91</v>
      </c>
      <c r="E31" s="24">
        <v>27</v>
      </c>
      <c r="F31" s="34"/>
    </row>
    <row r="32" spans="1:6" x14ac:dyDescent="0.3">
      <c r="A32" s="25">
        <f>(B32*1000000) + (C32*10000) + D32</f>
        <v>30001028</v>
      </c>
      <c r="B32" s="25" t="s">
        <v>94</v>
      </c>
      <c r="C32" s="32">
        <v>0</v>
      </c>
      <c r="D32" s="25" t="s">
        <v>92</v>
      </c>
      <c r="E32" s="24">
        <v>28</v>
      </c>
      <c r="F32" s="34"/>
    </row>
    <row r="33" spans="1:6" x14ac:dyDescent="0.3">
      <c r="A33" s="25">
        <f>(B33*1000000) + (C33*10000) + D33</f>
        <v>30001029</v>
      </c>
      <c r="B33" s="25" t="s">
        <v>94</v>
      </c>
      <c r="C33" s="32">
        <v>0</v>
      </c>
      <c r="D33" s="25" t="s">
        <v>93</v>
      </c>
      <c r="E33" s="24">
        <v>29</v>
      </c>
      <c r="F33" s="34"/>
    </row>
    <row r="34" spans="1:6" x14ac:dyDescent="0.3">
      <c r="A34" s="25">
        <f t="shared" ref="A34:A38" si="4">(B34*1000000) + (C34*10000) + D34</f>
        <v>30001030</v>
      </c>
      <c r="B34" s="25" t="s">
        <v>94</v>
      </c>
      <c r="C34" s="32">
        <v>0</v>
      </c>
      <c r="D34" s="25" t="s">
        <v>95</v>
      </c>
      <c r="E34" s="24">
        <v>30</v>
      </c>
    </row>
    <row r="35" spans="1:6" x14ac:dyDescent="0.3">
      <c r="A35" s="25">
        <f t="shared" si="4"/>
        <v>30001031</v>
      </c>
      <c r="B35" s="25" t="s">
        <v>94</v>
      </c>
      <c r="C35" s="32">
        <v>0</v>
      </c>
      <c r="D35" s="25" t="s">
        <v>96</v>
      </c>
      <c r="E35" s="24">
        <v>31</v>
      </c>
    </row>
    <row r="36" spans="1:6" x14ac:dyDescent="0.3">
      <c r="A36" s="25">
        <f t="shared" si="4"/>
        <v>30001032</v>
      </c>
      <c r="B36" s="25" t="s">
        <v>94</v>
      </c>
      <c r="C36" s="32">
        <v>0</v>
      </c>
      <c r="D36" s="25" t="s">
        <v>97</v>
      </c>
      <c r="E36" s="24">
        <v>32</v>
      </c>
    </row>
    <row r="37" spans="1:6" x14ac:dyDescent="0.3">
      <c r="A37" s="25">
        <f t="shared" si="4"/>
        <v>30001033</v>
      </c>
      <c r="B37" s="25" t="s">
        <v>94</v>
      </c>
      <c r="C37" s="32">
        <v>0</v>
      </c>
      <c r="D37" s="25" t="s">
        <v>98</v>
      </c>
      <c r="E37" s="24">
        <v>33</v>
      </c>
    </row>
    <row r="38" spans="1:6" x14ac:dyDescent="0.3">
      <c r="A38" s="25">
        <f t="shared" si="4"/>
        <v>30001034</v>
      </c>
      <c r="B38" s="25" t="s">
        <v>94</v>
      </c>
      <c r="C38" s="32">
        <v>0</v>
      </c>
      <c r="D38" s="25" t="s">
        <v>99</v>
      </c>
      <c r="E38" s="24">
        <v>34</v>
      </c>
    </row>
  </sheetData>
  <phoneticPr fontId="1" type="noConversion"/>
  <conditionalFormatting sqref="C1:C1048576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disablePrompts="1" count="1">
    <dataValidation type="list" allowBlank="1" showInputMessage="1" showErrorMessage="1" sqref="C5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G3:J3 A3:E3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2025-11-18T06:48:10Z</dcterms:modified>
</cp:coreProperties>
</file>