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77DCA63A-0DB9-4629-8337-7325F91A54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Buff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3" l="1"/>
  <c r="A29" i="3"/>
  <c r="A28" i="3"/>
  <c r="A19" i="3"/>
  <c r="A20" i="3"/>
  <c r="A21" i="3"/>
  <c r="A22" i="3"/>
  <c r="A23" i="3"/>
  <c r="A24" i="3"/>
  <c r="A25" i="3"/>
  <c r="A26" i="3"/>
  <c r="A27" i="3"/>
  <c r="A7" i="3"/>
  <c r="A8" i="3"/>
  <c r="A9" i="3"/>
  <c r="A10" i="3"/>
  <c r="A11" i="3"/>
  <c r="A12" i="3"/>
  <c r="A13" i="3"/>
  <c r="A14" i="3"/>
  <c r="A15" i="3"/>
  <c r="A16" i="3"/>
  <c r="A17" i="3"/>
  <c r="A18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C2" authorId="0" shapeId="0" xr:uid="{FB022350-8494-4730-AF95-1AA67BFA8B3D}">
      <text>
        <r>
          <rPr>
            <b/>
            <sz val="9"/>
            <color indexed="81"/>
            <rFont val="돋움"/>
            <family val="3"/>
            <charset val="129"/>
          </rPr>
          <t>종류에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상관없이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E3" authorId="0" shapeId="0" xr:uid="{81AE39BB-B183-4FE0-AFD8-EB8EFA7B7F09}">
      <text>
        <r>
          <rPr>
            <b/>
            <sz val="9"/>
            <color indexed="81"/>
            <rFont val="돋움"/>
            <family val="3"/>
            <charset val="129"/>
          </rPr>
          <t>0: NONE
1: Max_HP
2: Max_SP
3: Attack
4: Defense
5: Speed
6: Critical Chance
7: Critical Damage Rate
8: Counter Damage Rate
9: 물리 속성 게이지 효율 계수
10: 화염 속성 게이지 효율 계수
11: 방사능 속성 게이지 효율 계수
12: 중력 속성 게이지 효율 계수
13: 공허 속성 게이지 효율 계수
14: 신성 속성 게이지 효율 계수
15: 속성 게이지 저항 계수
16: 물리 속성 과부하 계수
17: 화염 속성 과부하 계수
18: 방사능 속성 과부하 계수
19: 중력 속성 과부하 계수
20: 공허 속성 과부하 계수
21: 신성 속성 과부하 계수
22: 피해 배율
23: 받는 피해 배율
24: SP 소모량 증가
25: 매턴 데미지
26: 매턴 체력 회복</t>
        </r>
      </text>
    </comment>
  </commentList>
</comments>
</file>

<file path=xl/sharedStrings.xml><?xml version="1.0" encoding="utf-8"?>
<sst xmlns="http://schemas.openxmlformats.org/spreadsheetml/2006/main" count="106" uniqueCount="91">
  <si>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</si>
  <si>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</si>
  <si>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</si>
  <si>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</si>
  <si>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</si>
  <si>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</si>
  <si>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</si>
  <si>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</si>
  <si>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</si>
  <si>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</si>
  <si>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</si>
  <si>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</si>
  <si>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</si>
  <si>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</si>
  <si>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</si>
  <si>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</si>
  <si>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</si>
  <si>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</si>
  <si>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</si>
  <si>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</si>
  <si>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</si>
  <si>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</si>
  <si>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</si>
  <si>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</si>
  <si>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</si>
  <si>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</si>
  <si>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</si>
  <si>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</si>
  <si>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</si>
  <si>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</si>
  <si>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</si>
  <si>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</si>
  <si>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</si>
  <si>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</si>
  <si>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</si>
  <si>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</si>
  <si>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</si>
  <si>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</si>
  <si>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</si>
  <si>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</si>
  <si>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</si>
  <si>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</si>
  <si>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</si>
  <si>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</si>
  <si>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</si>
  <si>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</si>
  <si>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</si>
  <si>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</si>
  <si>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</si>
  <si>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</si>
  <si>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</si>
  <si>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</si>
  <si>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</si>
  <si>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</si>
  <si>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</si>
  <si>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</si>
  <si>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</si>
  <si>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</si>
  <si>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</si>
  <si>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</si>
  <si>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</si>
  <si>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</si>
  <si>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</si>
  <si>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</si>
  <si>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</si>
  <si>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</si>
  <si>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</si>
  <si>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</si>
  <si>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</si>
  <si>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</si>
  <si>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</si>
  <si>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</si>
  <si>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</si>
  <si>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</si>
  <si>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</si>
  <si>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</si>
  <si>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</si>
  <si>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</si>
  <si>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</si>
  <si>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</si>
  <si>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</si>
  <si>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버프 카테고리</t>
    <phoneticPr fontId="1" type="noConversion"/>
  </si>
  <si>
    <t>enum:Calculate_Mode</t>
    <phoneticPr fontId="1" type="noConversion"/>
  </si>
  <si>
    <t>enum:BUFF_TYPE:NONE</t>
  </si>
  <si>
    <t>enum:BUFF_TYPE:NONE</t>
    <phoneticPr fontId="1" type="noConversion"/>
  </si>
  <si>
    <t>Buff_Type</t>
    <phoneticPr fontId="1" type="noConversion"/>
  </si>
  <si>
    <t>Buff_ID</t>
    <phoneticPr fontId="1" type="noConversion"/>
  </si>
  <si>
    <t>Table_Buff</t>
    <phoneticPr fontId="1" type="noConversion"/>
  </si>
  <si>
    <t>1025</t>
    <phoneticPr fontId="1" type="noConversion"/>
  </si>
  <si>
    <t>1026</t>
    <phoneticPr fontId="1" type="noConversion"/>
  </si>
  <si>
    <t>1010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</si>
</sst>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0"/>
    <numFmt numFmtId="178" formatCode="0.00_);[Red]\(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A15" sqref="A15"/>
    </sheetView>
  </sheetViews>
  <sheetFormatPr defaultRowHeight="16.5" x14ac:dyDescent="0.3"/>
  <cols>
    <col min="1" max="1" width="25.125" bestFit="1" customWidth="1"/>
  </cols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A13" s="19" t="s">
        <v>84</v>
      </c>
      <c r="C13" t="s">
        <v>72</v>
      </c>
    </row>
    <row r="14" spans="1:5" x14ac:dyDescent="0.3">
      <c r="A14" s="19" t="s">
        <v>82</v>
      </c>
      <c r="C14" t="s">
        <v>73</v>
      </c>
    </row>
    <row r="15" spans="1:5" x14ac:dyDescent="0.3">
      <c r="A15" s="19"/>
    </row>
    <row r="16" spans="1:5" x14ac:dyDescent="0.3">
      <c r="C16" t="s">
        <v>78</v>
      </c>
    </row>
    <row r="17" spans="3:3" x14ac:dyDescent="0.3">
      <c r="C17" t="s">
        <v>79</v>
      </c>
    </row>
    <row r="18" spans="3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L30"/>
  <sheetViews>
    <sheetView tabSelected="1" zoomScale="115" zoomScaleNormal="115" workbookViewId="0">
      <selection activeCell="K19" sqref="K19"/>
    </sheetView>
  </sheetViews>
  <sheetFormatPr defaultRowHeight="16.5" x14ac:dyDescent="0.3"/>
  <cols>
    <col min="1" max="2" width="10.25" style="30" bestFit="1" customWidth="1"/>
    <col min="3" max="3" width="13.875" style="33" bestFit="1" customWidth="1"/>
    <col min="4" max="4" width="11.75" style="30" bestFit="1" customWidth="1"/>
    <col min="5" max="5" width="25.625" style="31" customWidth="1"/>
    <col min="6" max="6" width="22.125" style="35" customWidth="1"/>
  </cols>
  <sheetData>
    <row r="1" spans="1:12" x14ac:dyDescent="0.3">
      <c r="A1" t="s">
        <v>87</v>
      </c>
      <c r="B1"/>
      <c r="C1"/>
      <c r="D1"/>
      <c r="E1"/>
      <c r="F1"/>
    </row>
    <row r="2" spans="1:12" x14ac:dyDescent="0.3">
      <c r="A2" s="21" t="s">
        <v>77</v>
      </c>
      <c r="B2" s="22" t="s">
        <v>60</v>
      </c>
      <c r="C2" s="23" t="s">
        <v>62</v>
      </c>
      <c r="D2" s="23" t="s">
        <v>76</v>
      </c>
      <c r="E2" s="22" t="s">
        <v>81</v>
      </c>
      <c r="F2" s="22"/>
    </row>
    <row r="3" spans="1:12" s="27" customFormat="1" x14ac:dyDescent="0.3">
      <c r="A3" s="28" t="s">
        <v>70</v>
      </c>
      <c r="B3" s="29" t="s">
        <v>70</v>
      </c>
      <c r="C3" s="29" t="s">
        <v>70</v>
      </c>
      <c r="D3" s="29" t="s">
        <v>70</v>
      </c>
      <c r="E3" s="29" t="s">
        <v>83</v>
      </c>
      <c r="F3" s="29"/>
      <c r="L3"/>
    </row>
    <row r="4" spans="1:12" s="27" customFormat="1" x14ac:dyDescent="0.3">
      <c r="A4" s="26" t="s">
        <v>86</v>
      </c>
      <c r="B4" s="26" t="s">
        <v>59</v>
      </c>
      <c r="C4" s="26" t="s">
        <v>61</v>
      </c>
      <c r="D4" s="26" t="s">
        <v>63</v>
      </c>
      <c r="E4" s="26" t="s">
        <v>85</v>
      </c>
      <c r="F4" s="26"/>
      <c r="L4"/>
    </row>
    <row r="5" spans="1:12" x14ac:dyDescent="0.3">
      <c r="A5" s="25">
        <f>(B5*1000000) + (C5*10000) + D5</f>
        <v>30001001</v>
      </c>
      <c r="B5" s="25">
        <v>30</v>
      </c>
      <c r="C5" s="32">
        <v>0</v>
      </c>
      <c r="D5" s="25">
        <v>1001</v>
      </c>
      <c r="E5" s="24">
        <v>1</v>
      </c>
      <c r="F5" s="34"/>
    </row>
    <row r="6" spans="1:12" x14ac:dyDescent="0.3">
      <c r="A6" s="25">
        <f>(B6*1000000) + (C6*10000) + D6</f>
        <v>30001002</v>
      </c>
      <c r="B6" s="25">
        <v>30</v>
      </c>
      <c r="C6" s="32">
        <v>0</v>
      </c>
      <c r="D6" s="25">
        <v>1002</v>
      </c>
      <c r="E6" s="24">
        <v>2</v>
      </c>
      <c r="F6" s="34"/>
    </row>
    <row r="7" spans="1:12" x14ac:dyDescent="0.3">
      <c r="A7" s="25">
        <f t="shared" ref="A7:A20" si="0">(B7*1000000) + (C7*10000) + D7</f>
        <v>30001003</v>
      </c>
      <c r="B7" s="25">
        <v>30</v>
      </c>
      <c r="C7" s="32">
        <v>0</v>
      </c>
      <c r="D7" s="25">
        <v>1003</v>
      </c>
      <c r="E7" s="24">
        <v>3</v>
      </c>
      <c r="F7" s="34"/>
    </row>
    <row r="8" spans="1:12" x14ac:dyDescent="0.3">
      <c r="A8" s="25">
        <f t="shared" si="0"/>
        <v>30001004</v>
      </c>
      <c r="B8" s="25">
        <v>30</v>
      </c>
      <c r="C8" s="32">
        <v>0</v>
      </c>
      <c r="D8" s="25">
        <v>1004</v>
      </c>
      <c r="E8" s="24">
        <v>4</v>
      </c>
      <c r="F8" s="34"/>
    </row>
    <row r="9" spans="1:12" x14ac:dyDescent="0.3">
      <c r="A9" s="25">
        <f t="shared" si="0"/>
        <v>30001005</v>
      </c>
      <c r="B9" s="25">
        <v>30</v>
      </c>
      <c r="C9" s="32">
        <v>0</v>
      </c>
      <c r="D9" s="25">
        <v>1005</v>
      </c>
      <c r="E9" s="24">
        <v>5</v>
      </c>
      <c r="F9" s="34"/>
    </row>
    <row r="10" spans="1:12" x14ac:dyDescent="0.3">
      <c r="A10" s="25">
        <f t="shared" si="0"/>
        <v>30001006</v>
      </c>
      <c r="B10" s="25">
        <v>30</v>
      </c>
      <c r="C10" s="32">
        <v>0</v>
      </c>
      <c r="D10" s="25">
        <v>1006</v>
      </c>
      <c r="E10" s="24">
        <v>6</v>
      </c>
      <c r="F10" s="34"/>
    </row>
    <row r="11" spans="1:12" x14ac:dyDescent="0.3">
      <c r="A11" s="25">
        <f t="shared" si="0"/>
        <v>30001007</v>
      </c>
      <c r="B11" s="25">
        <v>30</v>
      </c>
      <c r="C11" s="32">
        <v>0</v>
      </c>
      <c r="D11" s="25">
        <v>1007</v>
      </c>
      <c r="E11" s="24">
        <v>7</v>
      </c>
      <c r="F11" s="34"/>
    </row>
    <row r="12" spans="1:12" x14ac:dyDescent="0.3">
      <c r="A12" s="25">
        <f t="shared" si="0"/>
        <v>30001008</v>
      </c>
      <c r="B12" s="25">
        <v>30</v>
      </c>
      <c r="C12" s="32">
        <v>0</v>
      </c>
      <c r="D12" s="25">
        <v>1008</v>
      </c>
      <c r="E12" s="24">
        <v>8</v>
      </c>
      <c r="F12" s="34"/>
    </row>
    <row r="13" spans="1:12" x14ac:dyDescent="0.3">
      <c r="A13" s="25">
        <f t="shared" si="0"/>
        <v>30001009</v>
      </c>
      <c r="B13" s="25">
        <v>30</v>
      </c>
      <c r="C13" s="32">
        <v>0</v>
      </c>
      <c r="D13" s="25">
        <v>1009</v>
      </c>
      <c r="E13" s="24">
        <v>9</v>
      </c>
      <c r="F13" s="34"/>
    </row>
    <row r="14" spans="1:12" x14ac:dyDescent="0.3">
      <c r="A14" s="25">
        <f t="shared" si="0"/>
        <v>30001010</v>
      </c>
      <c r="B14" s="25">
        <v>30</v>
      </c>
      <c r="C14" s="32">
        <v>0</v>
      </c>
      <c r="D14" s="25" t="s">
        <v>90</v>
      </c>
      <c r="E14" s="24">
        <v>10</v>
      </c>
      <c r="F14" s="34"/>
    </row>
    <row r="15" spans="1:12" x14ac:dyDescent="0.3">
      <c r="A15" s="25">
        <f t="shared" si="0"/>
        <v>30001011</v>
      </c>
      <c r="B15" s="25">
        <v>30</v>
      </c>
      <c r="C15" s="32">
        <v>0</v>
      </c>
      <c r="D15" s="25">
        <v>1011</v>
      </c>
      <c r="E15" s="24">
        <v>11</v>
      </c>
      <c r="F15" s="34"/>
      <c r="K15" s="27"/>
    </row>
    <row r="16" spans="1:12" x14ac:dyDescent="0.3">
      <c r="A16" s="25">
        <f t="shared" si="0"/>
        <v>30001012</v>
      </c>
      <c r="B16" s="25">
        <v>30</v>
      </c>
      <c r="C16" s="32">
        <v>0</v>
      </c>
      <c r="D16" s="25">
        <v>1012</v>
      </c>
      <c r="E16" s="24">
        <v>12</v>
      </c>
      <c r="F16" s="34"/>
      <c r="K16" s="27"/>
    </row>
    <row r="17" spans="1:6" x14ac:dyDescent="0.3">
      <c r="A17" s="25">
        <f t="shared" si="0"/>
        <v>30001013</v>
      </c>
      <c r="B17" s="25">
        <v>30</v>
      </c>
      <c r="C17" s="32">
        <v>0</v>
      </c>
      <c r="D17" s="25">
        <v>1013</v>
      </c>
      <c r="E17" s="24">
        <v>13</v>
      </c>
      <c r="F17" s="34"/>
    </row>
    <row r="18" spans="1:6" x14ac:dyDescent="0.3">
      <c r="A18" s="25">
        <f t="shared" si="0"/>
        <v>30001014</v>
      </c>
      <c r="B18" s="25">
        <v>30</v>
      </c>
      <c r="C18" s="32">
        <v>0</v>
      </c>
      <c r="D18" s="25">
        <v>1014</v>
      </c>
      <c r="E18" s="24">
        <v>14</v>
      </c>
      <c r="F18" s="34"/>
    </row>
    <row r="19" spans="1:6" x14ac:dyDescent="0.3">
      <c r="A19" s="25">
        <f t="shared" si="0"/>
        <v>30001015</v>
      </c>
      <c r="B19" s="25">
        <v>30</v>
      </c>
      <c r="C19" s="32">
        <v>0</v>
      </c>
      <c r="D19" s="25">
        <v>1015</v>
      </c>
      <c r="E19" s="24">
        <v>15</v>
      </c>
      <c r="F19" s="34"/>
    </row>
    <row r="20" spans="1:6" x14ac:dyDescent="0.3">
      <c r="A20" s="25">
        <f t="shared" si="0"/>
        <v>30001016</v>
      </c>
      <c r="B20" s="25">
        <v>30</v>
      </c>
      <c r="C20" s="32">
        <v>0</v>
      </c>
      <c r="D20" s="25">
        <v>1016</v>
      </c>
      <c r="E20" s="24">
        <v>16</v>
      </c>
      <c r="F20" s="34"/>
    </row>
    <row r="21" spans="1:6" x14ac:dyDescent="0.3">
      <c r="A21" s="25">
        <f t="shared" ref="A21:A28" si="1">(B21*1000000) + (C21*10000) + D21</f>
        <v>30001017</v>
      </c>
      <c r="B21" s="25">
        <v>30</v>
      </c>
      <c r="C21" s="32">
        <v>0</v>
      </c>
      <c r="D21" s="25">
        <v>1017</v>
      </c>
      <c r="E21" s="24">
        <v>17</v>
      </c>
      <c r="F21" s="34"/>
    </row>
    <row r="22" spans="1:6" x14ac:dyDescent="0.3">
      <c r="A22" s="25">
        <f t="shared" si="1"/>
        <v>30001018</v>
      </c>
      <c r="B22" s="25">
        <v>30</v>
      </c>
      <c r="C22" s="32">
        <v>0</v>
      </c>
      <c r="D22" s="25">
        <v>1018</v>
      </c>
      <c r="E22" s="24">
        <v>18</v>
      </c>
      <c r="F22" s="34"/>
    </row>
    <row r="23" spans="1:6" x14ac:dyDescent="0.3">
      <c r="A23" s="25">
        <f t="shared" si="1"/>
        <v>30001019</v>
      </c>
      <c r="B23" s="25">
        <v>30</v>
      </c>
      <c r="C23" s="32">
        <v>0</v>
      </c>
      <c r="D23" s="25">
        <v>1019</v>
      </c>
      <c r="E23" s="24">
        <v>19</v>
      </c>
      <c r="F23" s="34"/>
    </row>
    <row r="24" spans="1:6" x14ac:dyDescent="0.3">
      <c r="A24" s="25">
        <f t="shared" si="1"/>
        <v>30001020</v>
      </c>
      <c r="B24" s="25">
        <v>30</v>
      </c>
      <c r="C24" s="32">
        <v>0</v>
      </c>
      <c r="D24" s="25">
        <v>1020</v>
      </c>
      <c r="E24" s="24">
        <v>20</v>
      </c>
      <c r="F24" s="34"/>
    </row>
    <row r="25" spans="1:6" x14ac:dyDescent="0.3">
      <c r="A25" s="25">
        <f t="shared" si="1"/>
        <v>30001021</v>
      </c>
      <c r="B25" s="25">
        <v>30</v>
      </c>
      <c r="C25" s="32">
        <v>0</v>
      </c>
      <c r="D25" s="25">
        <v>1021</v>
      </c>
      <c r="E25" s="24">
        <v>21</v>
      </c>
      <c r="F25" s="34"/>
    </row>
    <row r="26" spans="1:6" x14ac:dyDescent="0.3">
      <c r="A26" s="25">
        <f t="shared" si="1"/>
        <v>30001022</v>
      </c>
      <c r="B26" s="25">
        <v>30</v>
      </c>
      <c r="C26" s="32">
        <v>0</v>
      </c>
      <c r="D26" s="25">
        <v>1022</v>
      </c>
      <c r="E26" s="24">
        <v>22</v>
      </c>
      <c r="F26" s="34"/>
    </row>
    <row r="27" spans="1:6" x14ac:dyDescent="0.3">
      <c r="A27" s="25">
        <f t="shared" si="1"/>
        <v>30001023</v>
      </c>
      <c r="B27" s="25">
        <v>30</v>
      </c>
      <c r="C27" s="32">
        <v>0</v>
      </c>
      <c r="D27" s="25">
        <v>1023</v>
      </c>
      <c r="E27" s="24">
        <v>23</v>
      </c>
      <c r="F27" s="34"/>
    </row>
    <row r="28" spans="1:6" x14ac:dyDescent="0.3">
      <c r="A28" s="25">
        <f t="shared" si="1"/>
        <v>30001024</v>
      </c>
      <c r="B28" s="25">
        <v>30</v>
      </c>
      <c r="C28" s="32">
        <v>0</v>
      </c>
      <c r="D28" s="25">
        <v>1024</v>
      </c>
      <c r="E28" s="24">
        <v>24</v>
      </c>
      <c r="F28" s="34"/>
    </row>
    <row r="29" spans="1:6" x14ac:dyDescent="0.3">
      <c r="A29" s="25">
        <f t="shared" ref="A29:A30" si="2">(B29*1000000) + (C29*10000) + D29</f>
        <v>30001025</v>
      </c>
      <c r="B29" s="25">
        <v>30</v>
      </c>
      <c r="C29" s="32">
        <v>0</v>
      </c>
      <c r="D29" s="25" t="s">
        <v>88</v>
      </c>
      <c r="E29" s="24">
        <v>25</v>
      </c>
      <c r="F29" s="34"/>
    </row>
    <row r="30" spans="1:6" x14ac:dyDescent="0.3">
      <c r="A30" s="25">
        <f t="shared" si="2"/>
        <v>30001026</v>
      </c>
      <c r="B30" s="25">
        <v>30</v>
      </c>
      <c r="C30" s="32">
        <v>0</v>
      </c>
      <c r="D30" s="25" t="s">
        <v>89</v>
      </c>
      <c r="E30" s="24">
        <v>26</v>
      </c>
      <c r="F30" s="34"/>
    </row>
  </sheetData>
  <phoneticPr fontId="1" type="noConversion"/>
  <conditionalFormatting sqref="C1:C1048576">
    <cfRule type="colorScale" priority="1">
      <colorScale>
        <cfvo type="num" val="0"/>
        <cfvo type="num" val="1"/>
        <color theme="8" tint="0.59999389629810485"/>
        <color rgb="FFFFA7A7"/>
      </colorScale>
    </cfRule>
  </conditionalFormatting>
  <dataValidations count="1">
    <dataValidation type="list" allowBlank="1" showInputMessage="1" showErrorMessage="1" sqref="C32:C1048576 C5:C30" xr:uid="{2E37FA97-16C9-4CD8-BF57-92BA0291CA83}">
      <formula1>"0,1"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G3:J3 A3:E3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BuffTable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2025-11-17T07:10:33Z</dcterms:modified>
</cp:coreProperties>
</file>