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E:\github\Astrocat-2DSFProject\Assets\Data\DataTable\"/>
    </mc:Choice>
  </mc:AlternateContent>
  <xr:revisionPtr revIDLastSave="0" documentId="13_ncr:1_{FAE2B245-0FC7-42DB-9767-16CDFE4E57B2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!Logic" sheetId="2" r:id="rId1"/>
    <sheet name="!Desc" sheetId="1" r:id="rId2"/>
    <sheet name="!Samp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3" l="1"/>
  <c r="A8" i="3"/>
  <c r="A9" i="3"/>
  <c r="A10" i="3"/>
  <c r="A11" i="3"/>
  <c r="A12" i="3"/>
  <c r="A13" i="3"/>
  <c r="A14" i="3"/>
  <c r="A15" i="3"/>
  <c r="A16" i="3"/>
  <c r="A17" i="3"/>
  <c r="A18" i="3"/>
  <c r="A6" i="3"/>
  <c r="A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제동우</author>
  </authors>
  <commentList>
    <comment ref="C2" authorId="0" shapeId="0" xr:uid="{FB022350-8494-4730-AF95-1AA67BFA8B3D}">
      <text>
        <r>
          <rPr>
            <b/>
            <sz val="9"/>
            <color indexed="81"/>
            <rFont val="Tahoma"/>
            <family val="2"/>
          </rPr>
          <t xml:space="preserve">0: </t>
        </r>
        <r>
          <rPr>
            <b/>
            <sz val="9"/>
            <color indexed="81"/>
            <rFont val="돋움"/>
            <family val="3"/>
            <charset val="129"/>
          </rPr>
          <t xml:space="preserve">버프
</t>
        </r>
        <r>
          <rPr>
            <b/>
            <sz val="9"/>
            <color indexed="81"/>
            <rFont val="Tahoma"/>
            <family val="2"/>
          </rPr>
          <t xml:space="preserve">1: </t>
        </r>
        <r>
          <rPr>
            <b/>
            <sz val="9"/>
            <color indexed="81"/>
            <rFont val="돋움"/>
            <family val="3"/>
            <charset val="129"/>
          </rPr>
          <t>디버프</t>
        </r>
      </text>
    </comment>
    <comment ref="E3" authorId="0" shapeId="0" xr:uid="{81AE39BB-B183-4FE0-AFD8-EB8EFA7B7F09}">
      <text>
        <r>
          <rPr>
            <b/>
            <sz val="9"/>
            <color indexed="81"/>
            <rFont val="돋움"/>
            <family val="3"/>
            <charset val="129"/>
          </rPr>
          <t>0: NONE
1: 공격력
2: 방어력
3: SP 보유량
4: 스피드
5: 치명타 확률
6: 치명타 데미지 배율
7: 카운터 데미지 배율
8: 속성 게이지 효율 계수
9: 속성 게이지 저항 계수
10: 속성 과부하 계수
11: 받는 피해 증가
12: 받는 피해 감소
13: SP 소모량 증가
14: 도발</t>
        </r>
      </text>
    </comment>
    <comment ref="F3" authorId="0" shapeId="0" xr:uid="{A004C954-977A-4174-878C-4EC4F25E7E59}">
      <text>
        <r>
          <rPr>
            <b/>
            <sz val="9"/>
            <color indexed="81"/>
            <rFont val="Tahoma"/>
            <family val="2"/>
          </rPr>
          <t xml:space="preserve">0: NONE
1: Add </t>
        </r>
        <r>
          <rPr>
            <b/>
            <sz val="9"/>
            <color indexed="81"/>
            <rFont val="Tahoma"/>
            <family val="2"/>
          </rPr>
          <t xml:space="preserve">
2: Mul
3: Override</t>
        </r>
      </text>
    </comment>
  </commentList>
</comments>
</file>

<file path=xl/sharedStrings.xml><?xml version="1.0" encoding="utf-8"?>
<sst xmlns="http://schemas.openxmlformats.org/spreadsheetml/2006/main" count="106" uniqueCount="90">
  <si>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</si>
  <si>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</si>
  <si>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</si>
  <si>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</si>
  <si>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</si>
  <si>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</si>
  <si>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</si>
  <si>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</si>
  <si>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</si>
  <si>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</si>
  <si>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</si>
  <si>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</si>
  <si>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</si>
  <si>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</si>
  <si>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</si>
  <si>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</si>
  <si>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</si>
  <si>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</si>
  <si>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</si>
  <si>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</si>
  <si>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</si>
  <si>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</si>
  <si>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</si>
  <si>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</si>
  <si>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</si>
  <si>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</si>
  <si>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</si>
  <si>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</si>
  <si>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</si>
  <si>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</si>
  <si>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</si>
  <si>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</si>
  <si>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</si>
  <si>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</si>
  <si>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</si>
  <si>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</si>
  <si>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</si>
  <si>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</si>
  <si>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</si>
  <si>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</si>
  <si>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</si>
  <si>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</si>
  <si>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</si>
  <si>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</si>
  <si>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enum:BROOD_TYPE:NONE</t>
  </si>
  <si>
    <t>enum:RANGE_TYPE:NONE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</si>
  <si>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</si>
  <si>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</si>
  <si>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</si>
  <si>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</si>
  <si>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</si>
  <si>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</si>
  <si>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</si>
  <si>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</si>
  <si>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</si>
  <si>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</si>
  <si>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</si>
  <si>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</si>
  <si>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</si>
  <si>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</si>
  <si>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</si>
  <si>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</si>
  <si>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</si>
  <si>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</si>
  <si>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</si>
  <si>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</si>
  <si>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</si>
  <si>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</si>
  <si>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</si>
  <si>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</si>
  <si>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</si>
  <si>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</si>
  <si>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</si>
  <si>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</si>
  <si>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</si>
  <si>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</si>
  <si>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</si>
  <si>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</si>
  <si>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</si>
  <si>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</si>
  <si>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</si>
  <si>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Table_Buf</t>
    <phoneticPr fontId="1" type="noConversion"/>
  </si>
  <si>
    <t>버프 카테고리</t>
    <phoneticPr fontId="1" type="noConversion"/>
  </si>
  <si>
    <t>enum:Buf_Category:NONE</t>
  </si>
  <si>
    <t>enum:Buf_Category:NONE</t>
    <phoneticPr fontId="1" type="noConversion"/>
  </si>
  <si>
    <t xml:space="preserve">보정 방식 </t>
    <phoneticPr fontId="1" type="noConversion"/>
  </si>
  <si>
    <t>enum:Calculate_Mode</t>
  </si>
  <si>
    <t>enum:Calculate_Mode</t>
    <phoneticPr fontId="1" type="noConversion"/>
  </si>
  <si>
    <t>Buf_Category</t>
    <phoneticPr fontId="1" type="noConversion"/>
  </si>
  <si>
    <t>Calculate_Mode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</si>
</sst>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49" fontId="0" fillId="0" borderId="0" xfId="0" applyNumberFormat="1">
      <alignment vertical="center"/>
    </xf>
    <xf numFmtId="176" fontId="0" fillId="0" borderId="0" xfId="0" applyNumberFormat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371600" y="193357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2:E18"/>
  <sheetViews>
    <sheetView workbookViewId="0">
      <selection activeCell="A15" sqref="A15"/>
    </sheetView>
  </sheetViews>
  <sheetFormatPr defaultRowHeight="16.5" x14ac:dyDescent="0.3"/>
  <cols>
    <col min="1" max="1" width="25.125" bestFit="1" customWidth="1"/>
  </cols>
  <sheetData>
    <row r="2" spans="1:5" x14ac:dyDescent="0.3">
      <c r="A2" t="s">
        <v>46</v>
      </c>
      <c r="C2" t="s">
        <v>47</v>
      </c>
    </row>
    <row r="4" spans="1:5" x14ac:dyDescent="0.3">
      <c r="A4" s="18" t="s">
        <v>54</v>
      </c>
    </row>
    <row r="5" spans="1:5" x14ac:dyDescent="0.3">
      <c r="A5" s="19" t="s">
        <v>58</v>
      </c>
      <c r="C5" s="20" t="s">
        <v>55</v>
      </c>
      <c r="D5" s="20" t="s">
        <v>56</v>
      </c>
      <c r="E5" s="20" t="s">
        <v>57</v>
      </c>
    </row>
    <row r="6" spans="1:5" x14ac:dyDescent="0.3">
      <c r="A6" s="19" t="s">
        <v>49</v>
      </c>
      <c r="C6" s="20" t="s">
        <v>59</v>
      </c>
      <c r="D6" s="20" t="s">
        <v>60</v>
      </c>
    </row>
    <row r="7" spans="1:5" x14ac:dyDescent="0.3">
      <c r="A7" s="19" t="s">
        <v>70</v>
      </c>
      <c r="C7" s="20" t="s">
        <v>61</v>
      </c>
      <c r="D7" s="20" t="s">
        <v>62</v>
      </c>
    </row>
    <row r="8" spans="1:5" x14ac:dyDescent="0.3">
      <c r="A8" s="19" t="s">
        <v>69</v>
      </c>
      <c r="C8" s="20" t="s">
        <v>63</v>
      </c>
      <c r="D8" s="20" t="s">
        <v>64</v>
      </c>
    </row>
    <row r="9" spans="1:5" x14ac:dyDescent="0.3">
      <c r="A9" s="19" t="s">
        <v>71</v>
      </c>
      <c r="C9" s="20" t="s">
        <v>65</v>
      </c>
      <c r="D9" s="20" t="s">
        <v>66</v>
      </c>
    </row>
    <row r="10" spans="1:5" x14ac:dyDescent="0.3">
      <c r="A10" s="19" t="s">
        <v>52</v>
      </c>
      <c r="C10" s="20" t="s">
        <v>67</v>
      </c>
      <c r="D10" s="20" t="s">
        <v>68</v>
      </c>
    </row>
    <row r="11" spans="1:5" x14ac:dyDescent="0.3">
      <c r="A11" s="19" t="s">
        <v>75</v>
      </c>
    </row>
    <row r="12" spans="1:5" x14ac:dyDescent="0.3">
      <c r="A12" s="19" t="s">
        <v>74</v>
      </c>
    </row>
    <row r="13" spans="1:5" x14ac:dyDescent="0.3">
      <c r="A13" s="19" t="s">
        <v>84</v>
      </c>
      <c r="C13" t="s">
        <v>72</v>
      </c>
    </row>
    <row r="14" spans="1:5" x14ac:dyDescent="0.3">
      <c r="A14" s="19" t="s">
        <v>87</v>
      </c>
      <c r="C14" t="s">
        <v>73</v>
      </c>
    </row>
    <row r="16" spans="1:5" x14ac:dyDescent="0.3">
      <c r="C16" t="s">
        <v>78</v>
      </c>
    </row>
    <row r="17" spans="3:3" x14ac:dyDescent="0.3">
      <c r="C17" t="s">
        <v>79</v>
      </c>
    </row>
    <row r="18" spans="3:3" x14ac:dyDescent="0.3">
      <c r="C18" t="s">
        <v>80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workbookViewId="0">
      <pane ySplit="4" topLeftCell="A5" activePane="bottomLeft" state="frozen"/>
      <selection pane="bottomLeft" activeCell="L4" sqref="L4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48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52</v>
      </c>
      <c r="H3" s="15" t="s">
        <v>49</v>
      </c>
      <c r="I3" s="15" t="s">
        <v>49</v>
      </c>
      <c r="J3" s="15" t="s">
        <v>49</v>
      </c>
      <c r="K3" s="15" t="s">
        <v>34</v>
      </c>
      <c r="L3" s="15" t="s">
        <v>42</v>
      </c>
      <c r="M3" s="15" t="s">
        <v>43</v>
      </c>
      <c r="N3" s="15" t="s">
        <v>53</v>
      </c>
      <c r="O3" s="15" t="s">
        <v>44</v>
      </c>
      <c r="P3" s="15" t="s">
        <v>45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50</v>
      </c>
      <c r="D4" s="8" t="s">
        <v>51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dimension ref="A1:F18"/>
  <sheetViews>
    <sheetView tabSelected="1" zoomScale="115" zoomScaleNormal="115" workbookViewId="0">
      <selection activeCell="F5" sqref="F5"/>
    </sheetView>
  </sheetViews>
  <sheetFormatPr defaultRowHeight="16.5" x14ac:dyDescent="0.3"/>
  <cols>
    <col min="1" max="1" width="11.25" style="30" bestFit="1" customWidth="1"/>
    <col min="2" max="2" width="10.25" style="30" bestFit="1" customWidth="1"/>
    <col min="3" max="3" width="13.875" style="30" bestFit="1" customWidth="1"/>
    <col min="4" max="4" width="11.75" style="30" bestFit="1" customWidth="1"/>
    <col min="5" max="5" width="25.625" style="31" customWidth="1"/>
    <col min="6" max="6" width="19.375" style="31" bestFit="1" customWidth="1"/>
    <col min="7" max="7" width="22.125" customWidth="1"/>
  </cols>
  <sheetData>
    <row r="1" spans="1:6" x14ac:dyDescent="0.3">
      <c r="A1" t="s">
        <v>81</v>
      </c>
      <c r="B1"/>
      <c r="C1"/>
      <c r="D1"/>
      <c r="E1"/>
      <c r="F1"/>
    </row>
    <row r="2" spans="1:6" x14ac:dyDescent="0.3">
      <c r="A2" s="21" t="s">
        <v>77</v>
      </c>
      <c r="B2" s="22" t="s">
        <v>60</v>
      </c>
      <c r="C2" s="23" t="s">
        <v>62</v>
      </c>
      <c r="D2" s="23" t="s">
        <v>76</v>
      </c>
      <c r="E2" s="22" t="s">
        <v>82</v>
      </c>
      <c r="F2" s="22" t="s">
        <v>85</v>
      </c>
    </row>
    <row r="3" spans="1:6" s="27" customFormat="1" ht="13.5" x14ac:dyDescent="0.3">
      <c r="A3" s="28" t="s">
        <v>70</v>
      </c>
      <c r="B3" s="29" t="s">
        <v>70</v>
      </c>
      <c r="C3" s="29" t="s">
        <v>70</v>
      </c>
      <c r="D3" s="29" t="s">
        <v>70</v>
      </c>
      <c r="E3" s="29" t="s">
        <v>83</v>
      </c>
      <c r="F3" s="29" t="s">
        <v>86</v>
      </c>
    </row>
    <row r="4" spans="1:6" s="27" customFormat="1" ht="13.5" x14ac:dyDescent="0.3">
      <c r="A4" s="26" t="s">
        <v>55</v>
      </c>
      <c r="B4" s="26" t="s">
        <v>59</v>
      </c>
      <c r="C4" s="26" t="s">
        <v>61</v>
      </c>
      <c r="D4" s="26" t="s">
        <v>63</v>
      </c>
      <c r="E4" s="26" t="s">
        <v>88</v>
      </c>
      <c r="F4" s="26" t="s">
        <v>89</v>
      </c>
    </row>
    <row r="5" spans="1:6" x14ac:dyDescent="0.3">
      <c r="A5" s="25">
        <f>(B5*1000000) + (C5*10000) + D5</f>
        <v>30001001</v>
      </c>
      <c r="B5" s="25">
        <v>30</v>
      </c>
      <c r="C5" s="25">
        <v>0</v>
      </c>
      <c r="D5" s="25">
        <v>1001</v>
      </c>
      <c r="E5" s="24">
        <v>1</v>
      </c>
      <c r="F5" s="24">
        <v>2</v>
      </c>
    </row>
    <row r="6" spans="1:6" x14ac:dyDescent="0.3">
      <c r="A6" s="25">
        <f>(B6*1000000) + (C6*10000) + D6</f>
        <v>30011002</v>
      </c>
      <c r="B6" s="25">
        <v>30</v>
      </c>
      <c r="C6" s="25">
        <v>1</v>
      </c>
      <c r="D6" s="25">
        <v>1002</v>
      </c>
      <c r="E6" s="24">
        <v>2</v>
      </c>
      <c r="F6" s="24">
        <v>2</v>
      </c>
    </row>
    <row r="7" spans="1:6" x14ac:dyDescent="0.3">
      <c r="A7" s="25">
        <f t="shared" ref="A7:A18" si="0">(B7*1000000) + (C7*10000) + D7</f>
        <v>30021003</v>
      </c>
      <c r="B7" s="25">
        <v>30</v>
      </c>
      <c r="C7" s="25">
        <v>2</v>
      </c>
      <c r="D7" s="25">
        <v>1003</v>
      </c>
      <c r="E7" s="24">
        <v>3</v>
      </c>
      <c r="F7" s="24">
        <v>2</v>
      </c>
    </row>
    <row r="8" spans="1:6" x14ac:dyDescent="0.3">
      <c r="A8" s="25">
        <f t="shared" si="0"/>
        <v>30031004</v>
      </c>
      <c r="B8" s="25">
        <v>30</v>
      </c>
      <c r="C8" s="25">
        <v>3</v>
      </c>
      <c r="D8" s="25">
        <v>1004</v>
      </c>
      <c r="E8" s="24">
        <v>4</v>
      </c>
      <c r="F8" s="24">
        <v>1</v>
      </c>
    </row>
    <row r="9" spans="1:6" x14ac:dyDescent="0.3">
      <c r="A9" s="25">
        <f t="shared" si="0"/>
        <v>30041005</v>
      </c>
      <c r="B9" s="25">
        <v>30</v>
      </c>
      <c r="C9" s="25">
        <v>4</v>
      </c>
      <c r="D9" s="25">
        <v>1005</v>
      </c>
      <c r="E9" s="24">
        <v>5</v>
      </c>
      <c r="F9" s="24">
        <v>2</v>
      </c>
    </row>
    <row r="10" spans="1:6" x14ac:dyDescent="0.3">
      <c r="A10" s="25">
        <f t="shared" si="0"/>
        <v>30051006</v>
      </c>
      <c r="B10" s="25">
        <v>30</v>
      </c>
      <c r="C10" s="25">
        <v>5</v>
      </c>
      <c r="D10" s="25">
        <v>1006</v>
      </c>
      <c r="E10" s="24">
        <v>6</v>
      </c>
      <c r="F10" s="24">
        <v>1</v>
      </c>
    </row>
    <row r="11" spans="1:6" x14ac:dyDescent="0.3">
      <c r="A11" s="25">
        <f t="shared" si="0"/>
        <v>30061007</v>
      </c>
      <c r="B11" s="25">
        <v>30</v>
      </c>
      <c r="C11" s="25">
        <v>6</v>
      </c>
      <c r="D11" s="25">
        <v>1007</v>
      </c>
      <c r="E11" s="24">
        <v>7</v>
      </c>
      <c r="F11" s="24">
        <v>1</v>
      </c>
    </row>
    <row r="12" spans="1:6" x14ac:dyDescent="0.3">
      <c r="A12" s="25">
        <f t="shared" si="0"/>
        <v>30071008</v>
      </c>
      <c r="B12" s="25">
        <v>30</v>
      </c>
      <c r="C12" s="25">
        <v>7</v>
      </c>
      <c r="D12" s="25">
        <v>1008</v>
      </c>
      <c r="E12" s="24">
        <v>8</v>
      </c>
      <c r="F12" s="24">
        <v>1</v>
      </c>
    </row>
    <row r="13" spans="1:6" x14ac:dyDescent="0.3">
      <c r="A13" s="25">
        <f t="shared" si="0"/>
        <v>30081009</v>
      </c>
      <c r="B13" s="25">
        <v>30</v>
      </c>
      <c r="C13" s="25">
        <v>8</v>
      </c>
      <c r="D13" s="25">
        <v>1009</v>
      </c>
      <c r="E13" s="24">
        <v>9</v>
      </c>
      <c r="F13" s="24">
        <v>1</v>
      </c>
    </row>
    <row r="14" spans="1:6" x14ac:dyDescent="0.3">
      <c r="A14" s="25">
        <f t="shared" si="0"/>
        <v>30091010</v>
      </c>
      <c r="B14" s="25">
        <v>30</v>
      </c>
      <c r="C14" s="25">
        <v>9</v>
      </c>
      <c r="D14" s="25">
        <v>1010</v>
      </c>
      <c r="E14" s="24">
        <v>10</v>
      </c>
      <c r="F14" s="24">
        <v>1</v>
      </c>
    </row>
    <row r="15" spans="1:6" x14ac:dyDescent="0.3">
      <c r="A15" s="25">
        <f t="shared" si="0"/>
        <v>30101011</v>
      </c>
      <c r="B15" s="25">
        <v>30</v>
      </c>
      <c r="C15" s="25">
        <v>10</v>
      </c>
      <c r="D15" s="25">
        <v>1011</v>
      </c>
      <c r="E15" s="24">
        <v>11</v>
      </c>
      <c r="F15" s="24">
        <v>2</v>
      </c>
    </row>
    <row r="16" spans="1:6" x14ac:dyDescent="0.3">
      <c r="A16" s="25">
        <f t="shared" si="0"/>
        <v>30111012</v>
      </c>
      <c r="B16" s="25">
        <v>30</v>
      </c>
      <c r="C16" s="25">
        <v>11</v>
      </c>
      <c r="D16" s="25">
        <v>1012</v>
      </c>
      <c r="E16" s="24">
        <v>12</v>
      </c>
      <c r="F16" s="24">
        <v>2</v>
      </c>
    </row>
    <row r="17" spans="1:6" x14ac:dyDescent="0.3">
      <c r="A17" s="25">
        <f t="shared" si="0"/>
        <v>30121013</v>
      </c>
      <c r="B17" s="25">
        <v>30</v>
      </c>
      <c r="C17" s="25">
        <v>12</v>
      </c>
      <c r="D17" s="25">
        <v>1013</v>
      </c>
      <c r="E17" s="24">
        <v>13</v>
      </c>
      <c r="F17" s="24">
        <v>2</v>
      </c>
    </row>
    <row r="18" spans="1:6" x14ac:dyDescent="0.3">
      <c r="A18" s="25">
        <f t="shared" si="0"/>
        <v>30131014</v>
      </c>
      <c r="B18" s="25">
        <v>30</v>
      </c>
      <c r="C18" s="25">
        <v>13</v>
      </c>
      <c r="D18" s="25">
        <v>1014</v>
      </c>
      <c r="E18" s="24">
        <v>14</v>
      </c>
      <c r="F18" s="24">
        <v>0</v>
      </c>
    </row>
  </sheetData>
  <phoneticPr fontId="1" type="noConversion"/>
  <dataValidations count="1">
    <dataValidation type="list" allowBlank="1" showInputMessage="1" showErrorMessage="1" sqref="F5:F1048576" xr:uid="{95F9219A-BB1D-427C-A5C7-0F9EDA01E71B}">
      <formula1>"0,1,2,3"</formula1>
    </dataValidation>
  </dataValidations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44D287-4A0D-4E30-B02E-F978C229F037}">
          <x14:formula1>
            <xm:f>'!Logic'!$A$5:$A$19</xm:f>
          </x14:formula1>
          <xm:sqref>A3:K3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!Sample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동우 제</cp:lastModifiedBy>
  <dcterms:created xsi:type="dcterms:W3CDTF">2018-01-04T06:27:47Z</dcterms:created>
  <dcterms:modified xsi:type="dcterms:W3CDTF">2025-10-24T08:18:37Z</dcterms:modified>
</cp:coreProperties>
</file>