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13733003-1F83-4C3F-9917-F806DD3ABF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!Logic" sheetId="2" r:id="rId1"/>
    <sheet name="!Desc" sheetId="1" r:id="rId2"/>
    <sheet name="ElementStatus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A8" i="3"/>
  <c r="A9" i="3"/>
  <c r="A10" i="3"/>
  <c r="A11" i="3"/>
  <c r="A12" i="3"/>
  <c r="A13" i="3"/>
  <c r="A14" i="3"/>
  <c r="A15" i="3"/>
  <c r="A16" i="3"/>
  <c r="A17" i="3"/>
  <c r="A6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  <author>전세혁</author>
  </authors>
  <commentList>
    <comment ref="C2" authorId="0" shapeId="0" xr:uid="{F39414A5-AD79-44F4-8E5B-6901F30712C2}">
      <text>
        <r>
          <rPr>
            <b/>
            <sz val="9"/>
            <color indexed="81"/>
            <rFont val="Tahoma"/>
            <family val="2"/>
          </rPr>
          <t xml:space="preserve">0: None
1: </t>
        </r>
        <r>
          <rPr>
            <b/>
            <sz val="9"/>
            <color indexed="81"/>
            <rFont val="돋움"/>
            <family val="3"/>
            <charset val="129"/>
          </rPr>
          <t>단일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속성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>중첩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속성
</t>
        </r>
        <r>
          <rPr>
            <b/>
            <sz val="9"/>
            <color indexed="81"/>
            <rFont val="Tahoma"/>
            <family val="2"/>
          </rPr>
          <t xml:space="preserve">3: </t>
        </r>
        <r>
          <rPr>
            <b/>
            <sz val="9"/>
            <color indexed="81"/>
            <rFont val="돋움"/>
            <family val="3"/>
            <charset val="129"/>
          </rPr>
          <t>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속성</t>
        </r>
      </text>
    </comment>
    <comment ref="E2" authorId="0" shapeId="0" xr:uid="{B0B74666-F72C-41F1-BE61-ADD7D16A76DF}">
      <text>
        <r>
          <rPr>
            <b/>
            <sz val="9"/>
            <color indexed="81"/>
            <rFont val="돋움"/>
            <family val="3"/>
            <charset val="129"/>
          </rPr>
          <t>디버프가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"-"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F2" authorId="1" shapeId="0" xr:uid="{4402209D-9B48-4D1A-8A32-479F7E1CB0A0}">
      <text>
        <r>
          <rPr>
            <b/>
            <sz val="9"/>
            <color indexed="81"/>
            <rFont val="돋움"/>
            <family val="3"/>
            <charset val="129"/>
          </rPr>
          <t>버프를 불러오는 경우,
버프에 필요한 수치를 먼저 작성</t>
        </r>
      </text>
    </comment>
    <comment ref="D3" authorId="0" shapeId="0" xr:uid="{59FC3F4E-9DAA-41C7-ACDC-25532DA66A65}">
      <text>
        <r>
          <rPr>
            <sz val="9"/>
            <color indexed="81"/>
            <rFont val="돋움"/>
            <family val="3"/>
            <charset val="129"/>
          </rPr>
          <t xml:space="preserve">1: 물리
2: 화염
3: 방사능
4: 중력
5: 공허
6: 신성
7: (물리+물리)
8: (화염+화염)
9: (방사능+방사능)
10: (중력+중력)
11: (공허+공허)
12: (신성+신성)
13: 카오스
</t>
        </r>
      </text>
    </comment>
    <comment ref="H3" authorId="0" shapeId="0" xr:uid="{C2095F88-B0F9-4F1B-B152-8ADD4BD51B2D}">
      <text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돋움"/>
            <family val="3"/>
            <charset val="129"/>
          </rPr>
          <t xml:space="preserve">물리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 xml:space="preserve">화염
</t>
        </r>
        <r>
          <rPr>
            <b/>
            <sz val="9"/>
            <color indexed="81"/>
            <rFont val="Tahoma"/>
            <family val="2"/>
          </rPr>
          <t xml:space="preserve">3: </t>
        </r>
        <r>
          <rPr>
            <b/>
            <sz val="9"/>
            <color indexed="81"/>
            <rFont val="돋움"/>
            <family val="3"/>
            <charset val="129"/>
          </rPr>
          <t xml:space="preserve">방사능
</t>
        </r>
        <r>
          <rPr>
            <b/>
            <sz val="9"/>
            <color indexed="81"/>
            <rFont val="Tahoma"/>
            <family val="2"/>
          </rPr>
          <t xml:space="preserve">4: </t>
        </r>
        <r>
          <rPr>
            <b/>
            <sz val="9"/>
            <color indexed="81"/>
            <rFont val="돋움"/>
            <family val="3"/>
            <charset val="129"/>
          </rPr>
          <t xml:space="preserve">중력
</t>
        </r>
        <r>
          <rPr>
            <b/>
            <sz val="9"/>
            <color indexed="81"/>
            <rFont val="Tahoma"/>
            <family val="2"/>
          </rPr>
          <t xml:space="preserve">5: </t>
        </r>
        <r>
          <rPr>
            <b/>
            <sz val="9"/>
            <color indexed="81"/>
            <rFont val="돋움"/>
            <family val="3"/>
            <charset val="129"/>
          </rPr>
          <t xml:space="preserve">공허
</t>
        </r>
        <r>
          <rPr>
            <b/>
            <sz val="9"/>
            <color indexed="81"/>
            <rFont val="Tahoma"/>
            <family val="2"/>
          </rPr>
          <t xml:space="preserve">6: </t>
        </r>
        <r>
          <rPr>
            <b/>
            <sz val="9"/>
            <color indexed="81"/>
            <rFont val="돋움"/>
            <family val="3"/>
            <charset val="129"/>
          </rPr>
          <t xml:space="preserve">신성
</t>
        </r>
        <r>
          <rPr>
            <b/>
            <sz val="9"/>
            <color indexed="81"/>
            <rFont val="Tahoma"/>
            <family val="2"/>
          </rPr>
          <t>7: (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8: (</t>
        </r>
        <r>
          <rPr>
            <b/>
            <sz val="9"/>
            <color indexed="81"/>
            <rFont val="돋움"/>
            <family val="3"/>
            <charset val="129"/>
          </rPr>
          <t>화염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화염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9: (</t>
        </r>
        <r>
          <rPr>
            <b/>
            <sz val="9"/>
            <color indexed="81"/>
            <rFont val="돋움"/>
            <family val="3"/>
            <charset val="129"/>
          </rPr>
          <t>방사능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방사능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10: (</t>
        </r>
        <r>
          <rPr>
            <b/>
            <sz val="9"/>
            <color indexed="81"/>
            <rFont val="돋움"/>
            <family val="3"/>
            <charset val="129"/>
          </rPr>
          <t>중력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중력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11: (</t>
        </r>
        <r>
          <rPr>
            <b/>
            <sz val="9"/>
            <color indexed="81"/>
            <rFont val="돋움"/>
            <family val="3"/>
            <charset val="129"/>
          </rPr>
          <t>공허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공허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12: (</t>
        </r>
        <r>
          <rPr>
            <b/>
            <sz val="9"/>
            <color indexed="81"/>
            <rFont val="돋움"/>
            <family val="3"/>
            <charset val="129"/>
          </rPr>
          <t>신성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신성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13: </t>
        </r>
        <r>
          <rPr>
            <b/>
            <sz val="9"/>
            <color indexed="81"/>
            <rFont val="돋움"/>
            <family val="3"/>
            <charset val="129"/>
          </rPr>
          <t xml:space="preserve">카오스
</t>
        </r>
      </text>
    </comment>
  </commentList>
</comments>
</file>

<file path=xl/sharedStrings.xml><?xml version="1.0" encoding="utf-8"?>
<sst xmlns="http://schemas.openxmlformats.org/spreadsheetml/2006/main" count="129" uniqueCount="107">
  <si>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</si>
  <si>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</si>
  <si>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</si>
  <si>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</si>
  <si>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</si>
  <si>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</si>
  <si>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</si>
  <si>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</si>
  <si>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</si>
  <si>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</si>
  <si>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</si>
  <si>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</si>
  <si>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</si>
  <si>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</si>
  <si>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</si>
  <si>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</si>
  <si>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</si>
  <si>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</si>
  <si>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</si>
  <si>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</si>
  <si>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</si>
  <si>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</si>
  <si>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</si>
  <si>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</si>
  <si>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</si>
  <si>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</si>
  <si>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</si>
  <si>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</si>
  <si>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</si>
  <si>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</si>
  <si>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</si>
  <si>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</si>
  <si>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</si>
  <si>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</si>
  <si>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</si>
  <si>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</si>
  <si>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</si>
  <si>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</si>
  <si>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</si>
  <si>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</si>
  <si>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</si>
  <si>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</si>
  <si>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</si>
  <si>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</si>
  <si>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</si>
  <si>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</si>
  <si>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</si>
  <si>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</si>
  <si>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</si>
  <si>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</si>
  <si>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</si>
  <si>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</si>
  <si>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</si>
  <si>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</si>
  <si>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</si>
  <si>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</si>
  <si>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</si>
  <si>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</si>
  <si>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</si>
  <si>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</si>
  <si>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</si>
  <si>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</si>
  <si>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</si>
  <si>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</si>
  <si>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</si>
  <si>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</si>
  <si>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</si>
  <si>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</si>
  <si>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</si>
  <si>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</si>
  <si>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</si>
  <si>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</si>
  <si>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</si>
  <si>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</si>
  <si>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</si>
  <si>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</si>
  <si>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</si>
  <si>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</si>
  <si>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</si>
  <si>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enum:RANGE_TYPE:NONE</t>
    <phoneticPr fontId="1" type="noConversion"/>
  </si>
  <si>
    <t>enum:BROOD_TYPE:NONE</t>
    <phoneticPr fontId="1" type="noConversion"/>
  </si>
  <si>
    <t>버프 테이블 ID</t>
    <phoneticPr fontId="1" type="noConversion"/>
  </si>
  <si>
    <t>Element_Status_Name</t>
    <phoneticPr fontId="1" type="noConversion"/>
  </si>
  <si>
    <t>-</t>
    <phoneticPr fontId="1" type="noConversion"/>
  </si>
  <si>
    <t>Table_Element_Status</t>
    <phoneticPr fontId="1" type="noConversion"/>
  </si>
  <si>
    <t>Element_Status_ID</t>
    <phoneticPr fontId="1" type="noConversion"/>
  </si>
  <si>
    <t>ELEMENT_STATUS_NAME_STUN</t>
    <phoneticPr fontId="1" type="noConversion"/>
  </si>
  <si>
    <t>ELEMENT_STATUS_NAME_BURN</t>
    <phoneticPr fontId="1" type="noConversion"/>
  </si>
  <si>
    <t>ELEMENT_STATUS_NAME_CONTAMINATION</t>
    <phoneticPr fontId="1" type="noConversion"/>
  </si>
  <si>
    <t>ELEMENT_STATUS_NAME_SUPPRESS</t>
    <phoneticPr fontId="1" type="noConversion"/>
  </si>
  <si>
    <t>ELEMENT_STATUS_NAME_STRANGE</t>
    <phoneticPr fontId="1" type="noConversion"/>
  </si>
  <si>
    <t>ELEMENT_STATUS_NAME_SILENCE</t>
    <phoneticPr fontId="1" type="noConversion"/>
  </si>
  <si>
    <t>ELEMENT_STATUS_NAME_WEAKNESS</t>
    <phoneticPr fontId="1" type="noConversion"/>
  </si>
  <si>
    <t>ELEMENT_STATUS_NAME_OVERHEAT</t>
    <phoneticPr fontId="1" type="noConversion"/>
  </si>
  <si>
    <t>ELEMENT_STATUS_NAME_BIND</t>
    <phoneticPr fontId="1" type="noConversion"/>
  </si>
  <si>
    <t>ELEMENT_STATUS_NAME_CORRODE</t>
    <phoneticPr fontId="1" type="noConversion"/>
  </si>
  <si>
    <t>ELEMENT_STATUS_NAME_DOMINATE</t>
    <phoneticPr fontId="1" type="noConversion"/>
  </si>
  <si>
    <t>ELEMENT_STATUS_NAME_CHAOS</t>
    <phoneticPr fontId="1" type="noConversion"/>
  </si>
  <si>
    <t>상태 이상 표시명 키값</t>
    <phoneticPr fontId="1" type="noConversion"/>
  </si>
  <si>
    <t>Buff_Table_ID</t>
    <phoneticPr fontId="1" type="noConversion"/>
  </si>
  <si>
    <t>ELEMENT_STATUS_NAME_EXPOSURE</t>
    <phoneticPr fontId="1" type="noConversion"/>
  </si>
  <si>
    <t>enum:ELEMENT_STATUS_CATEGORY:NONE</t>
    <phoneticPr fontId="1" type="noConversion"/>
  </si>
  <si>
    <t>상태 이상 지속턴</t>
    <phoneticPr fontId="1" type="noConversion"/>
  </si>
  <si>
    <t>Element_Status_Duration_Turn</t>
    <phoneticPr fontId="1" type="noConversion"/>
  </si>
  <si>
    <t>double[]</t>
  </si>
  <si>
    <t>상태 이상 수치</t>
    <phoneticPr fontId="1" type="noConversion"/>
  </si>
  <si>
    <t>Element_Status_Value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</si>
</sst>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0"/>
    <numFmt numFmtId="178" formatCode="0.00_);[Red]\(0.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743075" y="240982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2:E18"/>
  <sheetViews>
    <sheetView workbookViewId="0">
      <selection activeCell="A14" sqref="A14"/>
    </sheetView>
  </sheetViews>
  <sheetFormatPr defaultRowHeight="16.5" x14ac:dyDescent="0.3"/>
  <cols>
    <col min="1" max="1" width="42.125" bestFit="1" customWidth="1"/>
  </cols>
  <sheetData>
    <row r="2" spans="1:5" x14ac:dyDescent="0.3">
      <c r="A2" t="s">
        <v>44</v>
      </c>
      <c r="C2" t="s">
        <v>45</v>
      </c>
    </row>
    <row r="4" spans="1:5" x14ac:dyDescent="0.3">
      <c r="A4" s="18" t="s">
        <v>52</v>
      </c>
    </row>
    <row r="5" spans="1:5" x14ac:dyDescent="0.3">
      <c r="A5" s="19" t="s">
        <v>56</v>
      </c>
      <c r="C5" s="20" t="s">
        <v>53</v>
      </c>
      <c r="D5" s="20" t="s">
        <v>54</v>
      </c>
      <c r="E5" s="20" t="s">
        <v>55</v>
      </c>
    </row>
    <row r="6" spans="1:5" x14ac:dyDescent="0.3">
      <c r="A6" s="19" t="s">
        <v>47</v>
      </c>
      <c r="C6" s="20" t="s">
        <v>57</v>
      </c>
      <c r="D6" s="20" t="s">
        <v>58</v>
      </c>
    </row>
    <row r="7" spans="1:5" x14ac:dyDescent="0.3">
      <c r="A7" s="19" t="s">
        <v>68</v>
      </c>
      <c r="C7" s="20" t="s">
        <v>59</v>
      </c>
      <c r="D7" s="20" t="s">
        <v>60</v>
      </c>
    </row>
    <row r="8" spans="1:5" x14ac:dyDescent="0.3">
      <c r="A8" s="19" t="s">
        <v>67</v>
      </c>
      <c r="C8" s="20" t="s">
        <v>61</v>
      </c>
      <c r="D8" s="20" t="s">
        <v>62</v>
      </c>
    </row>
    <row r="9" spans="1:5" x14ac:dyDescent="0.3">
      <c r="A9" s="19" t="s">
        <v>69</v>
      </c>
      <c r="C9" s="20" t="s">
        <v>63</v>
      </c>
      <c r="D9" s="20" t="s">
        <v>64</v>
      </c>
    </row>
    <row r="10" spans="1:5" x14ac:dyDescent="0.3">
      <c r="A10" s="19" t="s">
        <v>50</v>
      </c>
      <c r="C10" s="20" t="s">
        <v>65</v>
      </c>
      <c r="D10" s="20" t="s">
        <v>66</v>
      </c>
    </row>
    <row r="11" spans="1:5" x14ac:dyDescent="0.3">
      <c r="A11" s="19" t="s">
        <v>73</v>
      </c>
    </row>
    <row r="12" spans="1:5" x14ac:dyDescent="0.3">
      <c r="A12" s="19" t="s">
        <v>72</v>
      </c>
    </row>
    <row r="13" spans="1:5" x14ac:dyDescent="0.3">
      <c r="A13" s="19" t="s">
        <v>101</v>
      </c>
      <c r="C13" t="s">
        <v>70</v>
      </c>
    </row>
    <row r="14" spans="1:5" x14ac:dyDescent="0.3">
      <c r="A14" s="19"/>
      <c r="C14" t="s">
        <v>71</v>
      </c>
    </row>
    <row r="16" spans="1:5" x14ac:dyDescent="0.3">
      <c r="C16" t="s">
        <v>76</v>
      </c>
    </row>
    <row r="17" spans="3:3" x14ac:dyDescent="0.3">
      <c r="C17" t="s">
        <v>77</v>
      </c>
    </row>
    <row r="18" spans="3:3" x14ac:dyDescent="0.3">
      <c r="C18" t="s">
        <v>78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3" sqref="L3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46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50</v>
      </c>
      <c r="H3" s="15" t="s">
        <v>47</v>
      </c>
      <c r="I3" s="15" t="s">
        <v>47</v>
      </c>
      <c r="J3" s="15" t="s">
        <v>47</v>
      </c>
      <c r="K3" s="15" t="s">
        <v>34</v>
      </c>
      <c r="L3" s="15" t="s">
        <v>42</v>
      </c>
      <c r="M3" s="15" t="s">
        <v>43</v>
      </c>
      <c r="N3" s="15" t="s">
        <v>51</v>
      </c>
      <c r="O3" s="15" t="s">
        <v>80</v>
      </c>
      <c r="P3" s="15" t="s">
        <v>79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48</v>
      </c>
      <c r="D4" s="8" t="s">
        <v>49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sheetPr codeName="Sheet3"/>
  <dimension ref="A1:AJ17"/>
  <sheetViews>
    <sheetView tabSelected="1" zoomScale="115" zoomScaleNormal="115" workbookViewId="0">
      <selection activeCell="E12" sqref="E12"/>
    </sheetView>
  </sheetViews>
  <sheetFormatPr defaultRowHeight="16.5" x14ac:dyDescent="0.3"/>
  <cols>
    <col min="1" max="1" width="20.625" style="31" bestFit="1" customWidth="1"/>
    <col min="2" max="2" width="10.25" style="31" bestFit="1" customWidth="1"/>
    <col min="3" max="3" width="13.875" style="33" bestFit="1" customWidth="1"/>
    <col min="4" max="4" width="11.75" style="30" bestFit="1" customWidth="1"/>
    <col min="5" max="5" width="12.875" style="31" bestFit="1" customWidth="1"/>
    <col min="6" max="6" width="21.375" style="30" bestFit="1" customWidth="1"/>
    <col min="7" max="7" width="19.25" style="34" bestFit="1" customWidth="1"/>
    <col min="8" max="8" width="42.625" style="30" bestFit="1" customWidth="1"/>
  </cols>
  <sheetData>
    <row r="1" spans="1:36" x14ac:dyDescent="0.3">
      <c r="A1" t="s">
        <v>84</v>
      </c>
      <c r="B1"/>
      <c r="C1"/>
      <c r="D1"/>
      <c r="E1"/>
      <c r="F1"/>
      <c r="G1"/>
      <c r="H1"/>
    </row>
    <row r="2" spans="1:36" x14ac:dyDescent="0.3">
      <c r="A2" s="21" t="s">
        <v>75</v>
      </c>
      <c r="B2" s="22" t="s">
        <v>58</v>
      </c>
      <c r="C2" s="23" t="s">
        <v>60</v>
      </c>
      <c r="D2" s="23" t="s">
        <v>74</v>
      </c>
      <c r="E2" s="22" t="s">
        <v>81</v>
      </c>
      <c r="F2" s="22" t="s">
        <v>105</v>
      </c>
      <c r="G2" s="22" t="s">
        <v>102</v>
      </c>
      <c r="H2" s="22" t="s">
        <v>98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spans="1:36" s="27" customFormat="1" ht="13.5" x14ac:dyDescent="0.3">
      <c r="A3" s="28" t="s">
        <v>68</v>
      </c>
      <c r="B3" s="29" t="s">
        <v>68</v>
      </c>
      <c r="C3" s="29" t="s">
        <v>68</v>
      </c>
      <c r="D3" s="29" t="s">
        <v>68</v>
      </c>
      <c r="E3" s="29" t="s">
        <v>68</v>
      </c>
      <c r="F3" s="29" t="s">
        <v>104</v>
      </c>
      <c r="G3" s="29" t="s">
        <v>56</v>
      </c>
      <c r="H3" s="29" t="s">
        <v>36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 s="27" customFormat="1" ht="13.5" x14ac:dyDescent="0.3">
      <c r="A4" s="26" t="s">
        <v>85</v>
      </c>
      <c r="B4" s="26" t="s">
        <v>57</v>
      </c>
      <c r="C4" s="26" t="s">
        <v>59</v>
      </c>
      <c r="D4" s="26" t="s">
        <v>61</v>
      </c>
      <c r="E4" s="26" t="s">
        <v>99</v>
      </c>
      <c r="F4" s="26" t="s">
        <v>106</v>
      </c>
      <c r="G4" s="26" t="s">
        <v>103</v>
      </c>
      <c r="H4" s="26" t="s">
        <v>82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 spans="1:36" x14ac:dyDescent="0.3">
      <c r="A5" s="25">
        <f>(B5*1000000) + (C5*10000) + D5</f>
        <v>40011001</v>
      </c>
      <c r="B5" s="25">
        <v>40</v>
      </c>
      <c r="C5" s="32">
        <v>1</v>
      </c>
      <c r="D5" s="24">
        <v>1001</v>
      </c>
      <c r="E5" s="24" t="s">
        <v>83</v>
      </c>
      <c r="F5" s="35">
        <v>0</v>
      </c>
      <c r="G5" s="24">
        <v>1</v>
      </c>
      <c r="H5" s="25" t="s">
        <v>86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x14ac:dyDescent="0.3">
      <c r="A6" s="25">
        <f>(B6*1000000) + (C6*10000) + D6</f>
        <v>40011002</v>
      </c>
      <c r="B6" s="25">
        <v>40</v>
      </c>
      <c r="C6" s="32">
        <v>1</v>
      </c>
      <c r="D6" s="24">
        <v>1002</v>
      </c>
      <c r="E6" s="24">
        <v>30001025</v>
      </c>
      <c r="F6" s="35">
        <v>0.3</v>
      </c>
      <c r="G6" s="24">
        <v>0</v>
      </c>
      <c r="H6" s="25" t="s">
        <v>87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x14ac:dyDescent="0.3">
      <c r="A7" s="25">
        <f t="shared" ref="A7:A17" si="0">(B7*1000000) + (C7*10000) + D7</f>
        <v>40011003</v>
      </c>
      <c r="B7" s="25">
        <v>40</v>
      </c>
      <c r="C7" s="32">
        <v>1</v>
      </c>
      <c r="D7" s="24">
        <v>1003</v>
      </c>
      <c r="E7" s="24">
        <v>30001024</v>
      </c>
      <c r="F7" s="35">
        <v>1.3</v>
      </c>
      <c r="G7" s="24">
        <v>0</v>
      </c>
      <c r="H7" s="25" t="s">
        <v>88</v>
      </c>
    </row>
    <row r="8" spans="1:36" x14ac:dyDescent="0.3">
      <c r="A8" s="25">
        <f t="shared" si="0"/>
        <v>40011004</v>
      </c>
      <c r="B8" s="25">
        <v>40</v>
      </c>
      <c r="C8" s="32">
        <v>1</v>
      </c>
      <c r="D8" s="24">
        <v>1004</v>
      </c>
      <c r="E8" s="24">
        <v>30001005</v>
      </c>
      <c r="F8" s="35">
        <v>0.85</v>
      </c>
      <c r="G8" s="24">
        <v>0</v>
      </c>
      <c r="H8" s="25" t="s">
        <v>89</v>
      </c>
    </row>
    <row r="9" spans="1:36" x14ac:dyDescent="0.3">
      <c r="A9" s="25">
        <f t="shared" si="0"/>
        <v>40011005</v>
      </c>
      <c r="B9" s="25">
        <v>40</v>
      </c>
      <c r="C9" s="32">
        <v>1</v>
      </c>
      <c r="D9" s="24">
        <v>1005</v>
      </c>
      <c r="E9" s="24" t="s">
        <v>83</v>
      </c>
      <c r="F9" s="35">
        <v>0.7</v>
      </c>
      <c r="G9" s="24">
        <v>1</v>
      </c>
      <c r="H9" s="25" t="s">
        <v>90</v>
      </c>
    </row>
    <row r="10" spans="1:36" x14ac:dyDescent="0.3">
      <c r="A10" s="25">
        <f t="shared" si="0"/>
        <v>40011006</v>
      </c>
      <c r="B10" s="25">
        <v>40</v>
      </c>
      <c r="C10" s="32">
        <v>1</v>
      </c>
      <c r="D10" s="24">
        <v>1006</v>
      </c>
      <c r="E10" s="24" t="s">
        <v>83</v>
      </c>
      <c r="F10" s="35">
        <v>0</v>
      </c>
      <c r="G10" s="24">
        <v>1</v>
      </c>
      <c r="H10" s="25" t="s">
        <v>91</v>
      </c>
    </row>
    <row r="11" spans="1:36" x14ac:dyDescent="0.3">
      <c r="A11" s="25">
        <f t="shared" si="0"/>
        <v>40022001</v>
      </c>
      <c r="B11" s="25">
        <v>40</v>
      </c>
      <c r="C11" s="32">
        <v>2</v>
      </c>
      <c r="D11" s="24">
        <v>2001</v>
      </c>
      <c r="E11" s="24">
        <v>30001023</v>
      </c>
      <c r="F11" s="35">
        <v>1.3</v>
      </c>
      <c r="G11" s="24">
        <v>1</v>
      </c>
      <c r="H11" s="25" t="s">
        <v>92</v>
      </c>
    </row>
    <row r="12" spans="1:36" x14ac:dyDescent="0.3">
      <c r="A12" s="25">
        <f t="shared" si="0"/>
        <v>40022002</v>
      </c>
      <c r="B12" s="25">
        <v>40</v>
      </c>
      <c r="C12" s="32">
        <v>2</v>
      </c>
      <c r="D12" s="24">
        <v>2002</v>
      </c>
      <c r="E12" s="24">
        <v>30001025</v>
      </c>
      <c r="F12" s="35">
        <v>1.5</v>
      </c>
      <c r="G12" s="24">
        <v>0</v>
      </c>
      <c r="H12" s="25" t="s">
        <v>93</v>
      </c>
    </row>
    <row r="13" spans="1:36" x14ac:dyDescent="0.3">
      <c r="A13" s="25">
        <f t="shared" si="0"/>
        <v>40022003</v>
      </c>
      <c r="B13" s="25">
        <v>40</v>
      </c>
      <c r="C13" s="32">
        <v>2</v>
      </c>
      <c r="D13" s="24">
        <v>2003</v>
      </c>
      <c r="E13" s="24" t="s">
        <v>83</v>
      </c>
      <c r="F13" s="35">
        <v>1.5</v>
      </c>
      <c r="G13" s="24">
        <v>0</v>
      </c>
      <c r="H13" s="25" t="s">
        <v>100</v>
      </c>
    </row>
    <row r="14" spans="1:36" x14ac:dyDescent="0.3">
      <c r="A14" s="25">
        <f t="shared" si="0"/>
        <v>40022004</v>
      </c>
      <c r="B14" s="25">
        <v>40</v>
      </c>
      <c r="C14" s="32">
        <v>2</v>
      </c>
      <c r="D14" s="24">
        <v>2004</v>
      </c>
      <c r="E14" s="24" t="s">
        <v>83</v>
      </c>
      <c r="F14" s="35">
        <v>1.5</v>
      </c>
      <c r="G14" s="24">
        <v>0</v>
      </c>
      <c r="H14" s="25" t="s">
        <v>94</v>
      </c>
    </row>
    <row r="15" spans="1:36" x14ac:dyDescent="0.3">
      <c r="A15" s="25">
        <f t="shared" si="0"/>
        <v>40022005</v>
      </c>
      <c r="B15" s="25">
        <v>40</v>
      </c>
      <c r="C15" s="32">
        <v>2</v>
      </c>
      <c r="D15" s="24">
        <v>2005</v>
      </c>
      <c r="E15" s="24">
        <v>30001003</v>
      </c>
      <c r="F15" s="35">
        <v>1.3</v>
      </c>
      <c r="G15" s="24">
        <v>1</v>
      </c>
      <c r="H15" s="25" t="s">
        <v>95</v>
      </c>
    </row>
    <row r="16" spans="1:36" x14ac:dyDescent="0.3">
      <c r="A16" s="25">
        <f t="shared" si="0"/>
        <v>40022006</v>
      </c>
      <c r="B16" s="25">
        <v>40</v>
      </c>
      <c r="C16" s="32">
        <v>2</v>
      </c>
      <c r="D16" s="24">
        <v>2006</v>
      </c>
      <c r="E16" s="24">
        <v>30001003</v>
      </c>
      <c r="F16" s="35">
        <v>0.7</v>
      </c>
      <c r="G16" s="24">
        <v>1</v>
      </c>
      <c r="H16" s="25" t="s">
        <v>96</v>
      </c>
    </row>
    <row r="17" spans="1:8" x14ac:dyDescent="0.3">
      <c r="A17" s="25">
        <f t="shared" si="0"/>
        <v>40033001</v>
      </c>
      <c r="B17" s="25">
        <v>40</v>
      </c>
      <c r="C17" s="32">
        <v>3</v>
      </c>
      <c r="D17" s="24">
        <v>3001</v>
      </c>
      <c r="E17" s="24">
        <v>30001015</v>
      </c>
      <c r="F17" s="35">
        <v>0.7</v>
      </c>
      <c r="G17" s="24">
        <v>1</v>
      </c>
      <c r="H17" s="25" t="s">
        <v>97</v>
      </c>
    </row>
  </sheetData>
  <dataConsolidate/>
  <phoneticPr fontId="1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D44D287-4A0D-4E30-B02E-F978C229F037}">
          <x14:formula1>
            <xm:f>'!Logic'!$A$5:$A$19</xm:f>
          </x14:formula1>
          <xm:sqref>A3:H3 J3:XFD3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ElementStatusTable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2025-11-17T07:10:16Z</dcterms:modified>
</cp:coreProperties>
</file>